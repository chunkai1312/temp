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123996\Desktop\"/>
    </mc:Choice>
  </mc:AlternateContent>
  <xr:revisionPtr revIDLastSave="0" documentId="8_{7E7A5995-43A6-492E-8D81-AA587294A88F}" xr6:coauthVersionLast="47" xr6:coauthVersionMax="47" xr10:uidLastSave="{00000000-0000-0000-0000-000000000000}"/>
  <bookViews>
    <workbookView xWindow="-120" yWindow="-16320" windowWidth="29040" windowHeight="15720" tabRatio="787" firstSheet="1" activeTab="1" xr2:uid="{00000000-000D-0000-FFFF-FFFF00000000}"/>
  </bookViews>
  <sheets>
    <sheet name="金控動支排名" sheetId="22" r:id="rId1"/>
    <sheet name="【全處】2026年預算編列" sheetId="17" r:id="rId2"/>
    <sheet name="【各組】2026年預算編列" sheetId="23" r:id="rId3"/>
    <sheet name="【參考用】【各組】2025年預算編列" sheetId="24" r:id="rId4"/>
    <sheet name="【參考用】簽呈202503.08653續約附件六" sheetId="25" r:id="rId5"/>
    <sheet name="【預算刪減】試算邏輯" sheetId="11" state="hidden" r:id="rId6"/>
    <sheet name="【分攤比例】202106.01438" sheetId="18" state="hidden" r:id="rId7"/>
  </sheets>
  <externalReferences>
    <externalReference r:id="rId8"/>
    <externalReference r:id="rId9"/>
    <externalReference r:id="rId10"/>
    <externalReference r:id="rId11"/>
    <externalReference r:id="rId12"/>
  </externalReferences>
  <definedNames>
    <definedName name="_xlnm._FilterDatabase" localSheetId="2" hidden="1">#REF!</definedName>
    <definedName name="_xlnm._FilterDatabase" localSheetId="3" hidden="1">#REF!</definedName>
    <definedName name="_xlnm._FilterDatabase" hidden="1">#REF!</definedName>
    <definedName name="cost_house">[1]土地及房屋建築!$G$11</definedName>
    <definedName name="cost_machine">[2]機械設備!$G$16</definedName>
    <definedName name="cost_others">[2]雜項設備!$G$13</definedName>
    <definedName name="cost_tranport">[2]交通及運輸設備!$G$10</definedName>
    <definedName name="depre_house" localSheetId="2">#REF!</definedName>
    <definedName name="depre_house" localSheetId="3">#REF!</definedName>
    <definedName name="depre_house" localSheetId="0">#REF!</definedName>
    <definedName name="depre_house">#REF!</definedName>
    <definedName name="depre_machine" localSheetId="2">#REF!</definedName>
    <definedName name="depre_machine" localSheetId="3">#REF!</definedName>
    <definedName name="depre_machine">#REF!</definedName>
    <definedName name="depre_others" localSheetId="2">#REF!</definedName>
    <definedName name="depre_others" localSheetId="3">#REF!</definedName>
    <definedName name="depre_others">#REF!</definedName>
    <definedName name="depre_software" localSheetId="2">#REF!</definedName>
    <definedName name="depre_software" localSheetId="3">#REF!</definedName>
    <definedName name="depre_software">#REF!</definedName>
    <definedName name="depre_transport" localSheetId="2">#REF!</definedName>
    <definedName name="depre_transport" localSheetId="3">#REF!</definedName>
    <definedName name="depre_transport">#REF!</definedName>
    <definedName name="machine">[2]機械設備!$K$18</definedName>
    <definedName name="new_house">[1]土地及房屋建築!$K$11</definedName>
    <definedName name="new_machine">[2]機械設備!$K$16</definedName>
    <definedName name="new_others">[2]雜項設備!$K$13</definedName>
    <definedName name="new_tranport">[2]交通及運輸設備!$K$10</definedName>
    <definedName name="old_house">[1]土地及房屋建築!$K$12</definedName>
    <definedName name="old_machine">[2]機械設備!$K$17</definedName>
    <definedName name="old_others">[2]雜項設備!$K$14</definedName>
    <definedName name="old_tranport">[2]交通及運輸設備!$K$11</definedName>
    <definedName name="others">[2]雜項設備!$K$15</definedName>
    <definedName name="_xlnm.Print_Area">#N/A</definedName>
    <definedName name="revenue">[3]總表!$G$5</definedName>
    <definedName name="revenue__tax" localSheetId="1">#REF!</definedName>
    <definedName name="revenue__tax" localSheetId="2">#REF!</definedName>
    <definedName name="revenue__tax" localSheetId="3">#REF!</definedName>
    <definedName name="revenue__tax">#REF!</definedName>
    <definedName name="revenue_ben" localSheetId="2">#REF!</definedName>
    <definedName name="revenue_ben" localSheetId="3">#REF!</definedName>
    <definedName name="revenue_ben">#REF!</definedName>
    <definedName name="revenue_btx" localSheetId="1">[4]營業收支表!#REF!</definedName>
    <definedName name="revenue_btx" localSheetId="2">[4]營業收支表!#REF!</definedName>
    <definedName name="revenue_btx" localSheetId="3">[4]營業收支表!#REF!</definedName>
    <definedName name="revenue_btx">[4]營業收支表!#REF!</definedName>
    <definedName name="revenue_ptx" localSheetId="1">[4]營業收支表!#REF!</definedName>
    <definedName name="revenue_ptx" localSheetId="2">[4]營業收支表!#REF!</definedName>
    <definedName name="revenue_ptx" localSheetId="3">[4]營業收支表!#REF!</definedName>
    <definedName name="revenue_ptx">[4]營業收支表!#REF!</definedName>
    <definedName name="revenue_tax" localSheetId="2">#REF!</definedName>
    <definedName name="revenue_tax" localSheetId="3">#REF!</definedName>
    <definedName name="revenue_tax" localSheetId="0">#REF!</definedName>
    <definedName name="revenue_tax">#REF!</definedName>
    <definedName name="tranport">[2]交通及運輸設備!$K$12</definedName>
    <definedName name="房屋及建築" localSheetId="2">#REF!</definedName>
    <definedName name="房屋及建築" localSheetId="3">#REF!</definedName>
    <definedName name="房屋及建築" localSheetId="0">#REF!</definedName>
    <definedName name="房屋及建築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6" i="17" l="1"/>
  <c r="L94" i="17"/>
  <c r="G42" i="24"/>
  <c r="G51" i="24"/>
  <c r="N95" i="17"/>
  <c r="L41" i="17"/>
  <c r="L87" i="17"/>
  <c r="L85" i="17"/>
  <c r="L80" i="17"/>
  <c r="L78" i="17"/>
  <c r="L76" i="17"/>
  <c r="L74" i="17"/>
  <c r="L72" i="17"/>
  <c r="L71" i="17"/>
  <c r="L68" i="17"/>
  <c r="L55" i="17"/>
  <c r="L53" i="17"/>
  <c r="L42" i="17"/>
  <c r="L40" i="17"/>
  <c r="L38" i="17"/>
  <c r="L36" i="17"/>
  <c r="L35" i="17"/>
  <c r="L34" i="17"/>
  <c r="L32" i="17"/>
  <c r="L31" i="17"/>
  <c r="L29" i="17"/>
  <c r="L23" i="17"/>
  <c r="L21" i="17"/>
  <c r="L17" i="17"/>
  <c r="L16" i="17"/>
  <c r="L65" i="17"/>
  <c r="L64" i="17"/>
  <c r="L26" i="17"/>
  <c r="E36" i="24"/>
  <c r="G35" i="24"/>
  <c r="L66" i="17" s="1"/>
  <c r="G24" i="24"/>
  <c r="G20" i="24"/>
  <c r="G14" i="24"/>
  <c r="L18" i="17" s="1"/>
  <c r="L15" i="17"/>
  <c r="L12" i="17"/>
  <c r="L11" i="17"/>
  <c r="L8" i="17"/>
  <c r="L7" i="17"/>
  <c r="G36" i="24" l="1"/>
  <c r="L56" i="17"/>
  <c r="J101" i="17"/>
  <c r="P5" i="17" l="1"/>
  <c r="L5" i="17"/>
  <c r="L4" i="17" l="1"/>
  <c r="I67" i="17"/>
  <c r="I61" i="17"/>
  <c r="I52" i="17"/>
  <c r="I39" i="17"/>
  <c r="I33" i="17"/>
  <c r="I20" i="17"/>
  <c r="I14" i="17"/>
  <c r="I75" i="17"/>
  <c r="I79" i="17"/>
  <c r="I81" i="17"/>
  <c r="I88" i="17"/>
  <c r="G89" i="17" l="1"/>
  <c r="K52" i="24" l="1"/>
  <c r="J52" i="24"/>
  <c r="I52" i="24"/>
  <c r="H52" i="24"/>
  <c r="E51" i="24"/>
  <c r="E42" i="24"/>
  <c r="E52" i="24" s="1"/>
  <c r="K36" i="24"/>
  <c r="J36" i="24"/>
  <c r="I36" i="24"/>
  <c r="H36" i="24"/>
  <c r="E35" i="24"/>
  <c r="E24" i="24"/>
  <c r="E20" i="24"/>
  <c r="E14" i="24"/>
  <c r="K63" i="23"/>
  <c r="J63" i="23"/>
  <c r="I63" i="23"/>
  <c r="H63" i="23"/>
  <c r="E62" i="23"/>
  <c r="E55" i="23"/>
  <c r="F55" i="23" s="1"/>
  <c r="K47" i="23"/>
  <c r="J47" i="23"/>
  <c r="I47" i="23"/>
  <c r="H47" i="23"/>
  <c r="E46" i="23"/>
  <c r="E34" i="23"/>
  <c r="N64" i="17" s="1"/>
  <c r="E29" i="23"/>
  <c r="G9" i="23"/>
  <c r="E9" i="23"/>
  <c r="G8" i="23"/>
  <c r="E8" i="23"/>
  <c r="G6" i="23"/>
  <c r="E6" i="23"/>
  <c r="G5" i="23"/>
  <c r="E5" i="23"/>
  <c r="G4" i="23"/>
  <c r="E4" i="23"/>
  <c r="G3" i="23"/>
  <c r="E3" i="23"/>
  <c r="F29" i="23" l="1"/>
  <c r="N56" i="17"/>
  <c r="F34" i="23"/>
  <c r="F62" i="23"/>
  <c r="N96" i="17"/>
  <c r="F46" i="23"/>
  <c r="N66" i="17"/>
  <c r="E21" i="23"/>
  <c r="E63" i="23"/>
  <c r="E64" i="23" s="1"/>
  <c r="F21" i="23" l="1"/>
  <c r="N18" i="17"/>
  <c r="E47" i="23"/>
  <c r="E48" i="23" s="1"/>
  <c r="E17" i="22"/>
  <c r="L81" i="17"/>
  <c r="L13" i="17"/>
  <c r="L79" i="17" l="1"/>
  <c r="L52" i="17"/>
  <c r="L75" i="17"/>
  <c r="L33" i="17"/>
  <c r="L61" i="17"/>
  <c r="L14" i="17"/>
  <c r="C30" i="22"/>
  <c r="C29" i="22"/>
  <c r="C28" i="22"/>
  <c r="N97" i="17"/>
  <c r="O95" i="17" l="1"/>
  <c r="E26" i="22"/>
  <c r="J96" i="17"/>
  <c r="J94" i="17"/>
  <c r="P85" i="17"/>
  <c r="P37" i="17"/>
  <c r="K38" i="17"/>
  <c r="J38" i="17"/>
  <c r="M38" i="17"/>
  <c r="D17" i="22" l="1"/>
  <c r="L67" i="17" l="1"/>
  <c r="L20" i="17" l="1"/>
  <c r="N75" i="17" l="1"/>
  <c r="N79" i="17" l="1"/>
  <c r="N67" i="17" l="1"/>
  <c r="N88" i="17"/>
  <c r="N81" i="17"/>
  <c r="N61" i="17"/>
  <c r="Q61" i="17" s="1"/>
  <c r="N52" i="17"/>
  <c r="N39" i="17" l="1"/>
  <c r="N33" i="17"/>
  <c r="P33" i="17" s="1"/>
  <c r="N14" i="17"/>
  <c r="N20" i="17"/>
  <c r="Q20" i="17" s="1"/>
  <c r="N102" i="17" l="1"/>
  <c r="L102" i="17"/>
  <c r="I102" i="17"/>
  <c r="G102" i="17"/>
  <c r="H101" i="17" s="1"/>
  <c r="H102" i="17" s="1"/>
  <c r="P101" i="17"/>
  <c r="M101" i="17"/>
  <c r="K101" i="17"/>
  <c r="J102" i="17"/>
  <c r="L97" i="17"/>
  <c r="I97" i="17"/>
  <c r="G97" i="17"/>
  <c r="H95" i="17" s="1"/>
  <c r="B97" i="17"/>
  <c r="P96" i="17"/>
  <c r="M96" i="17"/>
  <c r="K96" i="17"/>
  <c r="M94" i="17"/>
  <c r="K94" i="17"/>
  <c r="C88" i="17"/>
  <c r="B88" i="17"/>
  <c r="P87" i="17"/>
  <c r="M87" i="17"/>
  <c r="K87" i="17"/>
  <c r="J87" i="17"/>
  <c r="D87" i="17"/>
  <c r="M85" i="17"/>
  <c r="K85" i="17"/>
  <c r="J85" i="17"/>
  <c r="D85" i="17"/>
  <c r="P82" i="17"/>
  <c r="L82" i="17"/>
  <c r="K82" i="17"/>
  <c r="J82" i="17"/>
  <c r="D82" i="17"/>
  <c r="Q81" i="17"/>
  <c r="P80" i="17"/>
  <c r="M80" i="17"/>
  <c r="K80" i="17"/>
  <c r="J80" i="17"/>
  <c r="C79" i="17"/>
  <c r="B79" i="17"/>
  <c r="P78" i="17"/>
  <c r="M78" i="17"/>
  <c r="K78" i="17"/>
  <c r="J78" i="17"/>
  <c r="P76" i="17"/>
  <c r="M76" i="17"/>
  <c r="K76" i="17"/>
  <c r="J76" i="17"/>
  <c r="C75" i="17"/>
  <c r="B75" i="17"/>
  <c r="P74" i="17"/>
  <c r="M74" i="17"/>
  <c r="K74" i="17"/>
  <c r="J74" i="17"/>
  <c r="D74" i="17"/>
  <c r="P72" i="17"/>
  <c r="M72" i="17"/>
  <c r="K72" i="17"/>
  <c r="J72" i="17"/>
  <c r="P71" i="17"/>
  <c r="M71" i="17"/>
  <c r="K71" i="17"/>
  <c r="J71" i="17"/>
  <c r="D71" i="17"/>
  <c r="P68" i="17"/>
  <c r="M68" i="17"/>
  <c r="K68" i="17"/>
  <c r="J68" i="17"/>
  <c r="D68" i="17"/>
  <c r="C67" i="17"/>
  <c r="B67" i="17"/>
  <c r="P66" i="17"/>
  <c r="M66" i="17"/>
  <c r="K66" i="17"/>
  <c r="J66" i="17"/>
  <c r="D66" i="17"/>
  <c r="P65" i="17"/>
  <c r="K65" i="17"/>
  <c r="J65" i="17"/>
  <c r="P64" i="17"/>
  <c r="M64" i="17"/>
  <c r="K64" i="17"/>
  <c r="J64" i="17"/>
  <c r="D64" i="17"/>
  <c r="K61" i="17"/>
  <c r="C61" i="17"/>
  <c r="B61" i="17"/>
  <c r="D57" i="17"/>
  <c r="P56" i="17"/>
  <c r="M56" i="17"/>
  <c r="K56" i="17"/>
  <c r="J56" i="17"/>
  <c r="P55" i="17"/>
  <c r="M55" i="17"/>
  <c r="K55" i="17"/>
  <c r="J55" i="17"/>
  <c r="D55" i="17"/>
  <c r="P53" i="17"/>
  <c r="M53" i="17"/>
  <c r="K53" i="17"/>
  <c r="J53" i="17"/>
  <c r="D53" i="17"/>
  <c r="C52" i="17"/>
  <c r="B52" i="17"/>
  <c r="D51" i="17"/>
  <c r="P42" i="17"/>
  <c r="M42" i="17"/>
  <c r="K42" i="17"/>
  <c r="J42" i="17"/>
  <c r="D42" i="17"/>
  <c r="P41" i="17"/>
  <c r="M41" i="17"/>
  <c r="K41" i="17"/>
  <c r="J41" i="17"/>
  <c r="D41" i="17"/>
  <c r="P40" i="17"/>
  <c r="K40" i="17"/>
  <c r="J40" i="17"/>
  <c r="D40" i="17"/>
  <c r="C39" i="17"/>
  <c r="B39" i="17"/>
  <c r="L37" i="17"/>
  <c r="K37" i="17"/>
  <c r="J37" i="17"/>
  <c r="D37" i="17"/>
  <c r="P36" i="17"/>
  <c r="M36" i="17"/>
  <c r="K36" i="17"/>
  <c r="J36" i="17"/>
  <c r="D36" i="17"/>
  <c r="P35" i="17"/>
  <c r="M35" i="17"/>
  <c r="K35" i="17"/>
  <c r="J35" i="17"/>
  <c r="D35" i="17"/>
  <c r="P34" i="17"/>
  <c r="K34" i="17"/>
  <c r="J34" i="17"/>
  <c r="D34" i="17"/>
  <c r="C33" i="17"/>
  <c r="B33" i="17"/>
  <c r="P32" i="17"/>
  <c r="M32" i="17"/>
  <c r="K32" i="17"/>
  <c r="J32" i="17"/>
  <c r="D32" i="17"/>
  <c r="P31" i="17"/>
  <c r="M31" i="17"/>
  <c r="K31" i="17"/>
  <c r="J31" i="17"/>
  <c r="D31" i="17"/>
  <c r="P29" i="17"/>
  <c r="M29" i="17"/>
  <c r="K29" i="17"/>
  <c r="J29" i="17"/>
  <c r="D29" i="17"/>
  <c r="P26" i="17"/>
  <c r="M26" i="17"/>
  <c r="K26" i="17"/>
  <c r="J26" i="17"/>
  <c r="D26" i="17"/>
  <c r="P23" i="17"/>
  <c r="M23" i="17"/>
  <c r="K23" i="17"/>
  <c r="J23" i="17"/>
  <c r="D23" i="17"/>
  <c r="D22" i="17"/>
  <c r="P21" i="17"/>
  <c r="M21" i="17"/>
  <c r="K21" i="17"/>
  <c r="J21" i="17"/>
  <c r="D21" i="17"/>
  <c r="C20" i="17"/>
  <c r="B20" i="17"/>
  <c r="D19" i="17"/>
  <c r="P18" i="17"/>
  <c r="M18" i="17"/>
  <c r="K18" i="17"/>
  <c r="J18" i="17"/>
  <c r="D18" i="17"/>
  <c r="P17" i="17"/>
  <c r="M17" i="17"/>
  <c r="K17" i="17"/>
  <c r="J17" i="17"/>
  <c r="D17" i="17"/>
  <c r="D16" i="17"/>
  <c r="C14" i="17"/>
  <c r="B14" i="17"/>
  <c r="J13" i="17"/>
  <c r="D13" i="17"/>
  <c r="P12" i="17"/>
  <c r="M12" i="17"/>
  <c r="K12" i="17"/>
  <c r="J12" i="17"/>
  <c r="D12" i="17"/>
  <c r="P11" i="17"/>
  <c r="M11" i="17"/>
  <c r="K11" i="17"/>
  <c r="J11" i="17"/>
  <c r="D11" i="17"/>
  <c r="D10" i="17"/>
  <c r="P8" i="17"/>
  <c r="M8" i="17"/>
  <c r="K8" i="17"/>
  <c r="J8" i="17"/>
  <c r="D8" i="17"/>
  <c r="P7" i="17"/>
  <c r="M7" i="17"/>
  <c r="K7" i="17"/>
  <c r="J7" i="17"/>
  <c r="D7" i="17"/>
  <c r="M5" i="17"/>
  <c r="K5" i="17"/>
  <c r="J5" i="17"/>
  <c r="P4" i="17"/>
  <c r="M4" i="17"/>
  <c r="K4" i="17"/>
  <c r="J4" i="17"/>
  <c r="D4" i="17"/>
  <c r="M37" i="17" l="1"/>
  <c r="L39" i="17"/>
  <c r="M39" i="17" s="1"/>
  <c r="M82" i="17"/>
  <c r="L88" i="17"/>
  <c r="M88" i="17" s="1"/>
  <c r="J75" i="17"/>
  <c r="M81" i="17"/>
  <c r="M40" i="17"/>
  <c r="M52" i="17"/>
  <c r="M34" i="17"/>
  <c r="P94" i="17"/>
  <c r="M67" i="17"/>
  <c r="H94" i="17"/>
  <c r="M102" i="17"/>
  <c r="P102" i="17"/>
  <c r="M20" i="17"/>
  <c r="D61" i="17"/>
  <c r="K79" i="17"/>
  <c r="J61" i="17"/>
  <c r="D67" i="17"/>
  <c r="K89" i="17"/>
  <c r="K88" i="17"/>
  <c r="P81" i="17"/>
  <c r="K67" i="17"/>
  <c r="D20" i="17"/>
  <c r="O101" i="17"/>
  <c r="O102" i="17" s="1"/>
  <c r="D14" i="17"/>
  <c r="D39" i="17"/>
  <c r="B89" i="17"/>
  <c r="J81" i="17"/>
  <c r="Q88" i="17"/>
  <c r="M79" i="17"/>
  <c r="K33" i="17"/>
  <c r="D75" i="17"/>
  <c r="Q79" i="17"/>
  <c r="P79" i="17"/>
  <c r="P88" i="17"/>
  <c r="H79" i="17"/>
  <c r="J14" i="17"/>
  <c r="D33" i="17"/>
  <c r="K39" i="17"/>
  <c r="D52" i="17"/>
  <c r="P61" i="17"/>
  <c r="J97" i="17"/>
  <c r="K97" i="17"/>
  <c r="K14" i="17"/>
  <c r="J33" i="17"/>
  <c r="Q39" i="17"/>
  <c r="J52" i="17"/>
  <c r="J67" i="17"/>
  <c r="D88" i="17"/>
  <c r="H96" i="17"/>
  <c r="M97" i="17"/>
  <c r="K102" i="17"/>
  <c r="N89" i="17"/>
  <c r="M33" i="17"/>
  <c r="Q75" i="17"/>
  <c r="Q52" i="17"/>
  <c r="Q67" i="17"/>
  <c r="H81" i="17"/>
  <c r="M14" i="17"/>
  <c r="P20" i="17"/>
  <c r="M65" i="17"/>
  <c r="M61" i="17"/>
  <c r="P75" i="17"/>
  <c r="P52" i="17"/>
  <c r="P39" i="17"/>
  <c r="P14" i="17"/>
  <c r="J20" i="17"/>
  <c r="J79" i="17"/>
  <c r="J88" i="17"/>
  <c r="Q14" i="17"/>
  <c r="K20" i="17"/>
  <c r="H33" i="17"/>
  <c r="K52" i="17"/>
  <c r="K81" i="17"/>
  <c r="C89" i="17"/>
  <c r="Q33" i="17"/>
  <c r="J39" i="17"/>
  <c r="P67" i="17"/>
  <c r="K75" i="17"/>
  <c r="M75" i="17"/>
  <c r="P97" i="17"/>
  <c r="H97" i="17" l="1"/>
  <c r="P89" i="17"/>
  <c r="C26" i="22"/>
  <c r="O20" i="17"/>
  <c r="O52" i="17"/>
  <c r="O75" i="17"/>
  <c r="O81" i="17"/>
  <c r="O61" i="17"/>
  <c r="H75" i="17"/>
  <c r="O79" i="17"/>
  <c r="D89" i="17"/>
  <c r="O14" i="17"/>
  <c r="O88" i="17"/>
  <c r="H88" i="17"/>
  <c r="H20" i="17"/>
  <c r="H14" i="17"/>
  <c r="H52" i="17"/>
  <c r="O96" i="17"/>
  <c r="Q89" i="17"/>
  <c r="H61" i="17"/>
  <c r="L89" i="17"/>
  <c r="M89" i="17" s="1"/>
  <c r="H39" i="17"/>
  <c r="O33" i="17"/>
  <c r="O67" i="17"/>
  <c r="O39" i="17"/>
  <c r="H67" i="17"/>
  <c r="J89" i="17"/>
  <c r="O94" i="17"/>
  <c r="O89" i="17" l="1"/>
  <c r="H89" i="17"/>
  <c r="O97" i="17"/>
  <c r="P28" i="11"/>
  <c r="P32" i="11" s="1"/>
  <c r="P29" i="11"/>
  <c r="P30" i="11"/>
  <c r="P31" i="11"/>
  <c r="P27" i="11"/>
  <c r="O38" i="11"/>
  <c r="P38" i="11" s="1"/>
  <c r="O36" i="11" l="1"/>
  <c r="P36" i="11" l="1"/>
  <c r="G38" i="11"/>
  <c r="O37" i="11"/>
  <c r="P37" i="11" s="1"/>
  <c r="O39" i="11"/>
  <c r="P39" i="11" s="1"/>
  <c r="O40" i="11"/>
  <c r="P40" i="11" s="1"/>
  <c r="M41" i="11"/>
  <c r="P41" i="11" l="1"/>
  <c r="O41" i="11"/>
  <c r="G29" i="11"/>
  <c r="I38" i="11"/>
  <c r="I29" i="11" l="1"/>
  <c r="O32" i="11"/>
  <c r="G21" i="11" l="1"/>
  <c r="I21" i="11" s="1"/>
  <c r="G13" i="11" l="1"/>
  <c r="I13" i="11" s="1"/>
  <c r="G5" i="11"/>
  <c r="I5" i="11"/>
  <c r="M7" i="11"/>
  <c r="O7" i="11" s="1"/>
  <c r="P7" i="11" s="1"/>
  <c r="M6" i="11"/>
  <c r="O6" i="11" s="1"/>
  <c r="P6" i="11" s="1"/>
  <c r="M5" i="11"/>
  <c r="O5" i="11" s="1"/>
  <c r="P5" i="11" s="1"/>
  <c r="M4" i="11"/>
  <c r="O4" i="11" s="1"/>
  <c r="P4" i="11" s="1"/>
  <c r="M3" i="11"/>
  <c r="O3" i="11" s="1"/>
  <c r="P3" i="11" s="1"/>
  <c r="O8" i="11" l="1"/>
  <c r="M8" i="11"/>
  <c r="P8" i="11" l="1"/>
  <c r="M23" i="11" l="1"/>
  <c r="O23" i="11" s="1"/>
  <c r="P23" i="11" s="1"/>
  <c r="M15" i="11"/>
  <c r="O15" i="11" s="1"/>
  <c r="P15" i="11" s="1"/>
  <c r="M21" i="11" l="1"/>
  <c r="O21" i="11" s="1"/>
  <c r="P21" i="11" s="1"/>
  <c r="M13" i="11"/>
  <c r="O13" i="11" s="1"/>
  <c r="P13" i="11" s="1"/>
  <c r="M22" i="11" l="1"/>
  <c r="O22" i="11" s="1"/>
  <c r="P22" i="11" s="1"/>
  <c r="M14" i="11"/>
  <c r="O14" i="11" s="1"/>
  <c r="P14" i="11" s="1"/>
  <c r="M20" i="11"/>
  <c r="O20" i="11" s="1"/>
  <c r="P20" i="11" s="1"/>
  <c r="M12" i="11"/>
  <c r="O12" i="11" s="1"/>
  <c r="P12" i="11" s="1"/>
  <c r="M19" i="11"/>
  <c r="M11" i="11"/>
  <c r="M16" i="11" l="1"/>
  <c r="O11" i="11"/>
  <c r="O19" i="11"/>
  <c r="P19" i="11" s="1"/>
  <c r="M24" i="11"/>
  <c r="O24" i="11" s="1"/>
  <c r="P24" i="11" s="1"/>
  <c r="P11" i="11" l="1"/>
  <c r="O16" i="11"/>
  <c r="P16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劉德偉-數位金融處-永豐銀行</author>
    <author>tc={7792DF7E-5317-426E-8932-42766BF21AFB}</author>
    <author>tc={F2D8A42D-390D-4A10-B8F2-29A3F131CFB6}</author>
    <author>tc={D0ECE670-1FC9-4FD8-9AF3-7E43B664F263}</author>
    <author>tc={898BA660-8458-48B3-B22C-C668C61E5566}</author>
    <author>tc={49E11510-48C6-415E-8F3D-BF43C6008004}</author>
    <author>tc={FA2E90A8-A717-474F-9ABF-5CB452293546}</author>
    <author>tc={4B765A40-2245-4A24-AA8B-BCD83312B69C}</author>
  </authors>
  <commentList>
    <comment ref="F4" authorId="0" shapeId="0" xr:uid="{3697F522-DADA-4F8E-80BE-321FDF5FBBC4}">
      <text>
        <r>
          <rPr>
            <b/>
            <sz val="10"/>
            <color indexed="81"/>
            <rFont val="微軟正黑體"/>
            <family val="2"/>
            <charset val="136"/>
          </rPr>
          <t>修理門鎖、換裝燈管、電梯維修保養、消防設施檢修、消防檢查缺失改善工程費、油漆、整修天花板/地板、空調冷氣主機設備維修  、機電設備維修、自動門維修、清洗水塔、冷卻水塔修理 、馬桶水箱維修、水電(水龍頭)工程修護 、 地板插座維修、機械停車設備保養費、行舍整修工程、中央監控系統維護、燈管耗材、水質檢測 、發電機維護費 
【註：此指"維修"，裝潢(含同一工程之設計費)則屬資本支出之租賃改良】</t>
        </r>
      </text>
    </comment>
    <comment ref="F5" authorId="0" shapeId="0" xr:uid="{3CF9B2B5-BEC7-43BF-B159-F45CA2BC1F68}">
      <text>
        <r>
          <rPr>
            <b/>
            <sz val="10"/>
            <color indexed="81"/>
            <rFont val="微軟正黑體"/>
            <family val="2"/>
            <charset val="136"/>
          </rPr>
          <t>房租保證金每月攤銷至租約到期
租約5年(~114/6/15)，金控分攤621元/月(65.1%)，7,452元/年。
【參考 2021年1-8明細帳-數位科技處，按金控分攤比例編列】</t>
        </r>
      </text>
    </comment>
    <comment ref="F11" authorId="0" shapeId="0" xr:uid="{705EE738-2CDB-4835-BCB5-D1C0BFA9F466}">
      <text>
        <r>
          <rPr>
            <b/>
            <sz val="10"/>
            <color indexed="81"/>
            <rFont val="微軟正黑體"/>
            <family val="2"/>
            <charset val="136"/>
          </rPr>
          <t>環境清潔費、購買盆景、垃圾清運費、垃圾袋(桶)、清洗地毯、庭園維護、清潔用品、拖把、打蠟費 、蟑螂藥、除臭芳香劑、黏鼠板、殺蟲劑 、消毒水、止滑墊、酒精、清潔蠟、清洗外牆、割草機用油、定期消毒、清潔人員臨時薪資</t>
        </r>
      </text>
    </comment>
    <comment ref="F12" authorId="0" shapeId="0" xr:uid="{76688946-2861-427A-B358-64891C94FD3B}">
      <text>
        <r>
          <rPr>
            <b/>
            <sz val="9"/>
            <color indexed="81"/>
            <rFont val="微軟正黑體"/>
            <family val="2"/>
            <charset val="136"/>
          </rPr>
          <t>大樓管理費、大樓車位管理費</t>
        </r>
      </text>
    </comment>
    <comment ref="F13" authorId="0" shapeId="0" xr:uid="{3F8E8648-DFDD-411C-BEAE-C3D001882F95}">
      <text>
        <r>
          <rPr>
            <b/>
            <sz val="9"/>
            <color indexed="81"/>
            <rFont val="微軟正黑體"/>
            <family val="2"/>
            <charset val="136"/>
          </rPr>
          <t>電話、網路及電力佈線施工費、插座維修、屏風拆組、換地毯、窗簾更換、 廣告招牌維修、 部門吊牌、停車場遙控器、滅火器換藥、門禁卡、溫度感應器、宿舍電梯磁卡、角鋼架補強、沙包、無人銀行機電工程、線路移位、易拉展、插座、停車場標示牌、台電線補費</t>
        </r>
      </text>
    </comment>
    <comment ref="F15" authorId="0" shapeId="0" xr:uid="{C5E8D1A1-4512-4B56-9227-4EE62AF64758}">
      <text>
        <r>
          <rPr>
            <b/>
            <sz val="9"/>
            <color indexed="81"/>
            <rFont val="微軟正黑體"/>
            <family val="2"/>
            <charset val="136"/>
          </rPr>
          <t>購買金額小於80,000之電腦軟體、軟體維護費，如：現成套裝軟體採購</t>
        </r>
      </text>
    </comment>
    <comment ref="F16" authorId="0" shapeId="0" xr:uid="{8EE057E2-8582-466A-A0A2-F391CC036D90}">
      <text>
        <r>
          <rPr>
            <b/>
            <sz val="9"/>
            <color indexed="81"/>
            <rFont val="微軟正黑體"/>
            <family val="2"/>
            <charset val="136"/>
          </rPr>
          <t>電腦及電腦週邊設備之維護維修費 、電腦系統硬體維護費、網路設備硬體維護費、電腦及電腦週邊設備搬遷移機，如：已逾保固期之NB維修</t>
        </r>
      </text>
    </comment>
    <comment ref="F17" authorId="0" shapeId="0" xr:uid="{D2FE95D1-3DC5-4D14-B676-9289C911AE61}">
      <text>
        <r>
          <rPr>
            <b/>
            <sz val="9"/>
            <color indexed="81"/>
            <rFont val="微軟正黑體"/>
            <family val="2"/>
            <charset val="136"/>
          </rPr>
          <t>購買電腦週邊設備使用之電腦消耗用品、購買印表機墨水碳粉夾、印表機補摺機色帶、磁帶、硬碟、記憶體、滑鼠、隨身碟、光碟片、鍵盤、電腦連接線、集線器、傳輸線、ATM 紙捲 、報表紙、錄音筆、金融卡、讀卡機、NB電池、行動電源
【註：PC、NB列入資本支出】</t>
        </r>
      </text>
    </comment>
    <comment ref="F18" authorId="0" shapeId="0" xr:uid="{94C40368-C643-4643-A180-DCD08298B40E}">
      <text>
        <r>
          <rPr>
            <b/>
            <sz val="9"/>
            <color indexed="81"/>
            <rFont val="微軟正黑體"/>
            <family val="2"/>
            <charset val="136"/>
          </rPr>
          <t>租用系統、各種資訊系統租金、各種系統使用費、系統軟體租用費、法源資料庫、法源檢索系統、軟體授權使用費、使用非本行系統功能調整費用，如：Uipath軟體年費、租用GPU或其他訂閱式服務費用</t>
        </r>
      </text>
    </comment>
    <comment ref="L18" authorId="1" shapeId="0" xr:uid="{7792DF7E-5317-426E-8932-42766BF21AFB}">
      <text>
        <t>[Threaded comment]
Your version of Excel allows you to read this threaded comment; however, any edits to it will get removed if the file is opened in a newer version of Excel. Learn more: https://go.microsoft.com/fwlink/?linkid=870924
Comment:
    根據各組預計使用寫入</t>
      </text>
    </comment>
    <comment ref="N18" authorId="2" shapeId="0" xr:uid="{F2D8A42D-390D-4A10-B8F2-29A3F131CFB6}">
      <text>
        <t>[Threaded comment]
Your version of Excel allows you to read this threaded comment; however, any edits to it will get removed if the file is opened in a newer version of Excel. Learn more: https://go.microsoft.com/fwlink/?linkid=870924
Comment:
    根據各組編列寫入</t>
      </text>
    </comment>
    <comment ref="F19" authorId="0" shapeId="0" xr:uid="{AF8C8337-1FEE-484D-ACA5-B8035D26F5F9}">
      <text>
        <r>
          <rPr>
            <b/>
            <sz val="9"/>
            <color indexed="81"/>
            <rFont val="微軟正黑體"/>
            <family val="2"/>
            <charset val="136"/>
          </rPr>
          <t>無法歸屬於以上之自動化設備相關費用</t>
        </r>
      </text>
    </comment>
    <comment ref="F21" authorId="0" shapeId="0" xr:uid="{04BB1CC6-9E77-41B0-9E44-C8467BD0ABA9}">
      <text>
        <r>
          <rPr>
            <b/>
            <sz val="9"/>
            <color indexed="81"/>
            <rFont val="微軟正黑體"/>
            <family val="2"/>
            <charset val="136"/>
          </rPr>
          <t>文具用品、影印紙、 計算機/叫號機紙捲、傳真機碳粉等耗材、裝訂機耗材、計算機、刻印費、桌墊、  紙箱、鈔袋 、零錢布袋塑膠袋、帆布袋、麻繩、削鉛筆機、耳機、簡報投影筆、空白DVD或錄影帶、郵資機郵資券、信封</t>
        </r>
      </text>
    </comment>
    <comment ref="F22" authorId="0" shapeId="0" xr:uid="{5029FDB3-6658-4309-AD12-EF3249BD7DD1}">
      <text>
        <r>
          <rPr>
            <b/>
            <sz val="9"/>
            <color indexed="81"/>
            <rFont val="微軟正黑體"/>
            <family val="2"/>
            <charset val="136"/>
          </rPr>
          <t>購買書籍、報紙、雜誌</t>
        </r>
      </text>
    </comment>
    <comment ref="F23" authorId="0" shapeId="0" xr:uid="{F3B85DBA-0E6C-4DB7-9FDE-C1D75E22DCF2}">
      <text>
        <r>
          <rPr>
            <b/>
            <sz val="9"/>
            <color indexed="81"/>
            <rFont val="微軟正黑體"/>
            <family val="2"/>
            <charset val="136"/>
          </rPr>
          <t>購買金額小於80,000之非消耗性物品(話機、事務機器、家具、小型告示牌、招牌、角鋼架、 文件架)。</t>
        </r>
      </text>
    </comment>
    <comment ref="F24" authorId="0" shapeId="0" xr:uid="{EB6D9D7B-8601-4DA1-BB8D-8441877C65B2}">
      <text>
        <r>
          <rPr>
            <b/>
            <sz val="9"/>
            <color indexed="81"/>
            <rFont val="微軟正黑體"/>
            <family val="2"/>
            <charset val="136"/>
          </rPr>
          <t>查【IFRS_16_租賃評估表及應繳租金】</t>
        </r>
      </text>
    </comment>
    <comment ref="F25" authorId="0" shapeId="0" xr:uid="{82AB5372-1936-40E4-9F0A-A42F812D3D93}">
      <text>
        <r>
          <rPr>
            <b/>
            <sz val="9"/>
            <color indexed="81"/>
            <rFont val="微軟正黑體"/>
            <family val="2"/>
            <charset val="136"/>
          </rPr>
          <t>查【IFRS_16_租賃評估表及應繳租金】</t>
        </r>
      </text>
    </comment>
    <comment ref="F26" authorId="0" shapeId="0" xr:uid="{C7711353-264B-4DE4-860D-DF755669BDBB}">
      <text>
        <r>
          <rPr>
            <b/>
            <sz val="9"/>
            <color indexed="81"/>
            <rFont val="微軟正黑體"/>
            <family val="2"/>
            <charset val="136"/>
          </rPr>
          <t>事務機租賃費(約4,000台/月)、計張印刷費等(A4 0.35元/張、彩色 4元)</t>
        </r>
      </text>
    </comment>
    <comment ref="F27" authorId="0" shapeId="0" xr:uid="{E9A51372-301B-49C9-8B1F-22936BA95E79}">
      <text>
        <r>
          <rPr>
            <b/>
            <sz val="9"/>
            <color indexed="81"/>
            <rFont val="細明體"/>
            <family val="3"/>
            <charset val="136"/>
          </rPr>
          <t>查【</t>
        </r>
        <r>
          <rPr>
            <b/>
            <sz val="9"/>
            <color indexed="81"/>
            <rFont val="Tahoma"/>
            <family val="2"/>
          </rPr>
          <t>IFRS_16_</t>
        </r>
        <r>
          <rPr>
            <b/>
            <sz val="9"/>
            <color indexed="81"/>
            <rFont val="細明體"/>
            <family val="3"/>
            <charset val="136"/>
          </rPr>
          <t>租賃評估表及應繳租金】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8" authorId="0" shapeId="0" xr:uid="{4CA9977E-9981-4192-A245-EEDCEB4BD0EF}">
      <text>
        <r>
          <rPr>
            <b/>
            <sz val="9"/>
            <color indexed="81"/>
            <rFont val="微軟正黑體"/>
            <family val="2"/>
            <charset val="136"/>
          </rPr>
          <t>查【IFRS_16_租賃評估表及應繳租金】</t>
        </r>
      </text>
    </comment>
    <comment ref="F29" authorId="0" shapeId="0" xr:uid="{D176F8F3-9D1B-4675-B719-7B2C49A3CB1F}">
      <text>
        <r>
          <rPr>
            <b/>
            <sz val="9"/>
            <color indexed="81"/>
            <rFont val="微軟正黑體"/>
            <family val="2"/>
            <charset val="136"/>
          </rPr>
          <t>名片印刷、各式一般及重要印刷品(非業務推廣使用)、影印費、購買發票工本費</t>
        </r>
      </text>
    </comment>
    <comment ref="F30" authorId="0" shapeId="0" xr:uid="{2434AF20-63B9-42B1-A5AC-67FD31DE9D86}">
      <text>
        <r>
          <rPr>
            <b/>
            <sz val="9"/>
            <color indexed="81"/>
            <rFont val="微軟正黑體"/>
            <family val="2"/>
            <charset val="136"/>
          </rPr>
          <t>員工服裝費(僅供行政處使用)</t>
        </r>
      </text>
    </comment>
    <comment ref="F31" authorId="0" shapeId="0" xr:uid="{3C3391FA-7402-444B-AD27-53B2878DD68E}">
      <text>
        <r>
          <rPr>
            <b/>
            <sz val="9"/>
            <color indexed="81"/>
            <rFont val="微軟正黑體"/>
            <family val="2"/>
            <charset val="136"/>
          </rPr>
          <t>費、門禁/監視/報警系統維護費、飲水機維護費(含換濾心)、電話消毒費、電話移機、招牌維修費、更換 UPS 電池、金庫密碼鎖更換維修、利率磁條更換維修、交換機維修、座位分機異動及線材費用 、裝訂機鑽頭、大樓發電機用油</t>
        </r>
      </text>
    </comment>
    <comment ref="F32" authorId="0" shapeId="0" xr:uid="{E6AA1A56-F378-4ABD-B169-8A733734FD64}">
      <text>
        <r>
          <rPr>
            <b/>
            <sz val="9"/>
            <color indexed="81"/>
            <rFont val="微軟正黑體"/>
            <family val="2"/>
            <charset val="136"/>
          </rPr>
          <t>購買茶包、咖啡、奶精、飲用水、衛生紙、擦手紙、洗手乳、電池、沖洗照片費、打鑰匙、識別證 、人名牌(桌牌及桌牌紙)、裝訂文件、行內獎座製作費用(業務鼓勵使用)、紙杯、補蚊燈、肥皂 、延長線 、旗座、煙灰缸小白石、庫房鑰匙、溫度計、期貨基金服務證、急救箱藥品、座位卡、充電器、雨傘、掛鐘、掛勾、咖啡攪拌棒、桌巾夾、保溫瓶、分行老花眼鏡配件、ipad保護套</t>
        </r>
      </text>
    </comment>
    <comment ref="F34" authorId="0" shapeId="0" xr:uid="{D61C0098-0347-461F-B39F-E732206F4914}">
      <text>
        <r>
          <rPr>
            <b/>
            <sz val="9"/>
            <color indexed="81"/>
            <rFont val="微軟正黑體"/>
            <family val="2"/>
            <charset val="136"/>
          </rPr>
          <t>電話費、傳真機費</t>
        </r>
      </text>
    </comment>
    <comment ref="F35" authorId="0" shapeId="0" xr:uid="{FC6B0685-3173-43E4-9715-E7AEEE5F13B4}">
      <text>
        <r>
          <rPr>
            <b/>
            <sz val="9"/>
            <color indexed="81"/>
            <rFont val="微軟正黑體"/>
            <family val="2"/>
            <charset val="136"/>
          </rPr>
          <t>網路數據通訊費、網路系統資訊傳輸及系統維護費用、ATM通訊費、網路電子憑證費、網站效能監測費用、金融業拆款中心數據通訊費、ADSL月租費、數據電路月租費、數位頻道收視費</t>
        </r>
      </text>
    </comment>
    <comment ref="F36" authorId="0" shapeId="0" xr:uid="{B9A3C334-3FD0-46B0-84BE-E2DA5DFA9065}">
      <text>
        <r>
          <rPr>
            <b/>
            <sz val="9"/>
            <color indexed="81"/>
            <rFont val="微軟正黑體"/>
            <family val="2"/>
            <charset val="136"/>
          </rPr>
          <t>國內外快遞(DHL、銨達貨運、九六行、全偉航空貨運、幹線有限公司等)</t>
        </r>
      </text>
    </comment>
    <comment ref="F37" authorId="0" shapeId="0" xr:uid="{A6C2D249-3C2C-4F26-AEC9-FDC10A5A624F}">
      <text>
        <r>
          <rPr>
            <b/>
            <sz val="9"/>
            <color indexed="81"/>
            <rFont val="微軟正黑體"/>
            <family val="2"/>
            <charset val="136"/>
          </rPr>
          <t>購買郵票、廣告回信、各式郵資</t>
        </r>
      </text>
    </comment>
    <comment ref="F38" authorId="0" shapeId="0" xr:uid="{DFCF9F79-D261-488F-9370-AB80D0A34F6B}">
      <text>
        <r>
          <rPr>
            <b/>
            <sz val="9"/>
            <color indexed="81"/>
            <rFont val="微軟正黑體"/>
            <family val="2"/>
            <charset val="136"/>
          </rPr>
          <t>郵政信箱租金、簡訊服務費、數據電路裝機線路費</t>
        </r>
      </text>
    </comment>
    <comment ref="F40" authorId="0" shapeId="0" xr:uid="{64F28E17-89C5-477F-9321-D63B8C07BB6B}">
      <text>
        <r>
          <rPr>
            <b/>
            <sz val="9"/>
            <color indexed="81"/>
            <rFont val="微軟正黑體"/>
            <family val="2"/>
            <charset val="136"/>
          </rPr>
          <t>因公之國內出差相關支出(交通、住宿、膳雜等)</t>
        </r>
      </text>
    </comment>
    <comment ref="F41" authorId="0" shapeId="0" xr:uid="{C6AA3253-91D0-4829-9E72-2DCE2F16CB9C}">
      <text>
        <r>
          <rPr>
            <b/>
            <sz val="9"/>
            <color indexed="81"/>
            <rFont val="微軟正黑體"/>
            <family val="2"/>
            <charset val="136"/>
          </rPr>
          <t>因公之國外出差相關支出(交通、住宿、膳雜等)</t>
        </r>
      </text>
    </comment>
    <comment ref="F42" authorId="0" shapeId="0" xr:uid="{E124694B-DEA1-4DD9-822A-13B1DAE7B3D2}">
      <text>
        <r>
          <rPr>
            <b/>
            <sz val="9"/>
            <color indexed="81"/>
            <rFont val="微軟正黑體"/>
            <family val="2"/>
            <charset val="136"/>
          </rPr>
          <t>因公之計程車資、火車票、機票、高鐵車票、捷運車票、使用私人車輛油資補助款</t>
        </r>
      </text>
    </comment>
    <comment ref="F51" authorId="0" shapeId="0" xr:uid="{EB7A4AE2-141A-4528-B782-DB9D25EC6989}">
      <text>
        <r>
          <rPr>
            <b/>
            <sz val="9"/>
            <color indexed="81"/>
            <rFont val="微軟正黑體"/>
            <family val="2"/>
            <charset val="136"/>
          </rPr>
          <t>車輛檢驗費、過路費、ETC儲值費、臨時停車費、因公務辦理護照簽證費用、車隊卡卡片費、中油卡、臨時租賃機車費用</t>
        </r>
      </text>
    </comment>
    <comment ref="F53" authorId="0" shapeId="0" xr:uid="{707AF559-4863-41B2-B853-5CEC41D0DD5D}">
      <text>
        <r>
          <rPr>
            <b/>
            <sz val="9"/>
            <color indexed="81"/>
            <rFont val="微軟正黑體"/>
            <family val="2"/>
            <charset val="136"/>
          </rPr>
          <t>在台灣發生之與客戶或非行內同仁用餐、致贈客戶禮品、與客戶打球、客戶婚喪喜慶、三節等節日致贈禮品。「需述明、交際對象（客戶名稱）、禮品內容及數量、用餐人數等。不得以拼湊發票方式報銷，屬於交際性質之饋贈支出，應以交際費認定。」</t>
        </r>
      </text>
    </comment>
    <comment ref="F55" authorId="0" shapeId="0" xr:uid="{37EB6D33-7A8E-4430-8383-BCF0D72FCDF4}">
      <text>
        <r>
          <rPr>
            <b/>
            <sz val="9"/>
            <color indexed="81"/>
            <rFont val="微軟正黑體"/>
            <family val="2"/>
            <charset val="136"/>
          </rPr>
          <t>在台灣以外地區發生之與客戶或非行內同仁用餐、致贈客戶禮品、與客戶打球。「需述明、交際對象（客戶名稱）、禮品內容及數量、用餐人數等。不得以拼湊發票方式報銷，屬於交際性質之饋贈支出，應以交際費認定。」</t>
        </r>
      </text>
    </comment>
    <comment ref="F56" authorId="0" shapeId="0" xr:uid="{BEF55FA2-9BDF-4B9B-B052-A6E4F658CC97}">
      <text>
        <r>
          <rPr>
            <b/>
            <sz val="9"/>
            <color indexed="81"/>
            <rFont val="微軟正黑體"/>
            <family val="2"/>
            <charset val="136"/>
          </rPr>
          <t>牆面廣告租用、燈箱廣告、海報、於各式媒體(書報.雜誌.電視.網路)刊登廣告。(媒體廣告費需檢附DM、廣告樣張或照片)</t>
        </r>
      </text>
    </comment>
    <comment ref="L56" authorId="3" shapeId="0" xr:uid="{D0ECE670-1FC9-4FD8-9AF3-7E43B664F263}">
      <text>
        <t>[Threaded comment]
Your version of Excel allows you to read this threaded comment; however, any edits to it will get removed if the file is opened in a newer version of Excel. Learn more: https://go.microsoft.com/fwlink/?linkid=870924
Comment:
    根據各組預計使用寫入</t>
      </text>
    </comment>
    <comment ref="N56" authorId="4" shapeId="0" xr:uid="{898BA660-8458-48B3-B22C-C668C61E5566}">
      <text>
        <t>[Threaded comment]
Your version of Excel allows you to read this threaded comment; however, any edits to it will get removed if the file is opened in a newer version of Excel. Learn more: https://go.microsoft.com/fwlink/?linkid=870924
Comment:
    根據各組編列寫入</t>
      </text>
    </comment>
    <comment ref="F57" authorId="0" shapeId="0" xr:uid="{28E02A17-31D8-4217-BFE4-2A38A73781A3}">
      <text>
        <r>
          <rPr>
            <b/>
            <sz val="9"/>
            <color indexed="81"/>
            <rFont val="微軟正黑體"/>
            <family val="2"/>
            <charset val="136"/>
          </rPr>
          <t>業務推廣專案活動費用、活動贈品、活動場地費、活動雜支(應檢附經適當主管核准之專案簽呈或備忘錄)。獎勵個別同仁業績優異或其他特殊貢獻事項，請另呈報人事單位以薪資獎金方式處理。如：RPA內部推廣、專案Workshop費用</t>
        </r>
      </text>
    </comment>
    <comment ref="F58" authorId="0" shapeId="0" xr:uid="{D0A3A958-1B63-4635-B553-6414684B64CF}">
      <text>
        <r>
          <rPr>
            <b/>
            <sz val="9"/>
            <color indexed="81"/>
            <rFont val="微軟正黑體"/>
            <family val="2"/>
            <charset val="136"/>
          </rPr>
          <t>如：品牌LOGO設計費用</t>
        </r>
      </text>
    </comment>
    <comment ref="F64" authorId="0" shapeId="0" xr:uid="{0CC4BF06-A8B9-47B9-9463-7725C51CE08F}">
      <text>
        <r>
          <rPr>
            <b/>
            <sz val="9"/>
            <color indexed="81"/>
            <rFont val="微軟正黑體"/>
            <family val="2"/>
            <charset val="136"/>
          </rPr>
          <t>顧問諮詢服務費</t>
        </r>
      </text>
    </comment>
    <comment ref="N64" authorId="5" shapeId="0" xr:uid="{49E11510-48C6-415E-8F3D-BF43C6008004}">
      <text>
        <t>[Threaded comment]
Your version of Excel allows you to read this threaded comment; however, any edits to it will get removed if the file is opened in a newer version of Excel. Learn more: https://go.microsoft.com/fwlink/?linkid=870924
Comment:
    根據各組編列寫入</t>
      </text>
    </comment>
    <comment ref="F66" authorId="0" shapeId="0" xr:uid="{67B191EF-1DEE-435B-B97D-4417B76CF22A}">
      <text>
        <r>
          <rPr>
            <b/>
            <sz val="9"/>
            <color indexed="81"/>
            <rFont val="微軟正黑體"/>
            <family val="2"/>
            <charset val="136"/>
          </rPr>
          <t>證券商同業公會業務費、退休金精算服務費、公證費、建築師審查費、出租房屋仲介費、翻譯費、服務及股務代理簽證費、價格合理意見書、不動產估價服務費及其他無法歸屬以上專業服務費用者。如：會計師價格合理性意見費用
【註：依經驗，會計師價格合理意見費用至少20,000元/份】</t>
        </r>
      </text>
    </comment>
    <comment ref="G66" authorId="0" shapeId="0" xr:uid="{6EBF4277-BB95-43F9-8E21-FD90B5224CA7}">
      <text>
        <r>
          <rPr>
            <b/>
            <sz val="12"/>
            <color indexed="81"/>
            <rFont val="微軟正黑體"/>
            <family val="2"/>
            <charset val="136"/>
          </rPr>
          <t>1. 專利費用 (5 件 500 → $300 仟元 策略組
2. 會計師合理價格意見書： 20( 仟元 件 10 件 =200 → $120 仟元 共用
3. 名人講座 顧問、同業、 Gartner) 40 → $24 仟元 科發組
4. 產學合作： 5,000 → $3,000 仟元 策略組
台大 1,500 → $900 仟元 成大 Lab1,500 → $900 仟元 東吳 2,000 → $1,200 仟元
Σ 5,740( 仟元 )→ $3,444</t>
        </r>
      </text>
    </comment>
    <comment ref="L66" authorId="6" shapeId="0" xr:uid="{FA2E90A8-A717-474F-9ABF-5CB452293546}">
      <text>
        <t>[Threaded comment]
Your version of Excel allows you to read this threaded comment; however, any edits to it will get removed if the file is opened in a newer version of Excel. Learn more: https://go.microsoft.com/fwlink/?linkid=870924
Comment:
    根據各組預計使用寫入</t>
      </text>
    </comment>
    <comment ref="N66" authorId="7" shapeId="0" xr:uid="{4B765A40-2245-4A24-AA8B-BCD83312B69C}">
      <text>
        <t>[Threaded comment]
Your version of Excel allows you to read this threaded comment; however, any edits to it will get removed if the file is opened in a newer version of Excel. Learn more: https://go.microsoft.com/fwlink/?linkid=870924
Comment:
    根據各組編列寫入</t>
      </text>
    </comment>
    <comment ref="F68" authorId="0" shapeId="0" xr:uid="{91D950EB-8807-40C6-88BF-D462FD283164}">
      <text>
        <r>
          <rPr>
            <b/>
            <sz val="9"/>
            <color indexed="81"/>
            <rFont val="微軟正黑體"/>
            <family val="2"/>
            <charset val="136"/>
          </rPr>
          <t>由【財產清冊】計算折舊攤銷，詳如3. 既有財產折舊</t>
        </r>
      </text>
    </comment>
    <comment ref="F71" authorId="0" shapeId="0" xr:uid="{E59AAEAD-A32D-45B4-9C35-9B785FB4DB44}">
      <text>
        <r>
          <rPr>
            <b/>
            <sz val="9"/>
            <color indexed="81"/>
            <rFont val="微軟正黑體"/>
            <family val="2"/>
            <charset val="136"/>
          </rPr>
          <t>由【財產清冊】計算折舊攤銷，詳如3. 既有財產折舊</t>
        </r>
      </text>
    </comment>
    <comment ref="F72" authorId="0" shapeId="0" xr:uid="{C1A6D313-A969-43CF-9E6D-9ED55416633F}">
      <text>
        <r>
          <rPr>
            <b/>
            <sz val="9"/>
            <color indexed="81"/>
            <rFont val="微軟正黑體"/>
            <family val="2"/>
            <charset val="136"/>
          </rPr>
          <t>由【財產清冊】計算折舊攤銷，詳如3. 既有財產折舊</t>
        </r>
      </text>
    </comment>
    <comment ref="F74" authorId="0" shapeId="0" xr:uid="{A82BBDAA-1F19-4180-887B-D97E547C5B55}">
      <text>
        <r>
          <rPr>
            <b/>
            <sz val="9"/>
            <color indexed="81"/>
            <rFont val="微軟正黑體"/>
            <family val="2"/>
            <charset val="136"/>
          </rPr>
          <t>由【財產清冊】計算折舊攤銷，詳如3. 既有財產折舊</t>
        </r>
      </text>
    </comment>
    <comment ref="F76" authorId="0" shapeId="0" xr:uid="{6304691E-7389-4C38-81CA-06914D98652C}">
      <text>
        <r>
          <rPr>
            <b/>
            <sz val="9"/>
            <color indexed="81"/>
            <rFont val="微軟正黑體"/>
            <family val="2"/>
            <charset val="136"/>
          </rPr>
          <t>租金
詳【參考用】簽呈202503.08653續約附件六頁籤</t>
        </r>
      </text>
    </comment>
    <comment ref="F82" authorId="0" shapeId="0" xr:uid="{A20827CD-AFA5-43A2-9A7A-C1F238F0C4DD}">
      <text>
        <r>
          <rPr>
            <b/>
            <sz val="9"/>
            <color indexed="81"/>
            <rFont val="微軟正黑體"/>
            <family val="2"/>
            <charset val="136"/>
          </rPr>
          <t>各種祭祀支出、尾牙費用(由人資處統編)</t>
        </r>
      </text>
    </comment>
    <comment ref="F85" authorId="0" shapeId="0" xr:uid="{D13A3AD5-9456-4F33-8DCA-60B5033E54B3}">
      <text>
        <r>
          <rPr>
            <b/>
            <sz val="9"/>
            <color indexed="81"/>
            <rFont val="微軟正黑體"/>
            <family val="2"/>
            <charset val="136"/>
          </rPr>
          <t>需檢附會議紀錄敘明會議內容(或檢附會議通知)、日期、時間及人數。</t>
        </r>
      </text>
    </comment>
    <comment ref="F87" authorId="0" shapeId="0" xr:uid="{90B8D016-D323-4240-B3B8-A4E390DA479E}">
      <text>
        <r>
          <rPr>
            <b/>
            <sz val="10"/>
            <color indexed="81"/>
            <rFont val="微軟正黑體"/>
            <family val="2"/>
            <charset val="136"/>
          </rPr>
          <t>租復原工程、洗被單、搬家之搬運費用、機房清潔人員車資、捐血會費、行外人士車資、高爾夫球證、銷毀文件</t>
        </r>
      </text>
    </comment>
    <comment ref="B94" authorId="0" shapeId="0" xr:uid="{C226C5ED-14AD-4EA0-BB1B-9705D60DE737}">
      <text>
        <r>
          <rPr>
            <sz val="9"/>
            <color indexed="81"/>
            <rFont val="Tahoma"/>
            <family val="2"/>
          </rPr>
          <t>2020/1-12</t>
        </r>
        <r>
          <rPr>
            <sz val="9"/>
            <color indexed="81"/>
            <rFont val="細明體"/>
            <family val="3"/>
            <charset val="136"/>
          </rPr>
          <t>月
花費</t>
        </r>
        <r>
          <rPr>
            <sz val="9"/>
            <color indexed="81"/>
            <rFont val="Tahoma"/>
            <family val="2"/>
          </rPr>
          <t>742,805</t>
        </r>
        <r>
          <rPr>
            <sz val="9"/>
            <color indexed="81"/>
            <rFont val="細明體"/>
            <family val="3"/>
            <charset val="136"/>
          </rPr>
          <t>元</t>
        </r>
      </text>
    </comment>
    <comment ref="B96" authorId="0" shapeId="0" xr:uid="{4C1B2137-5FC1-4ACC-A6DF-30ECD90F2FD6}">
      <text>
        <r>
          <rPr>
            <sz val="9"/>
            <color indexed="81"/>
            <rFont val="細明體"/>
            <family val="3"/>
            <charset val="136"/>
          </rPr>
          <t>2020/1-12月
花費0元</t>
        </r>
      </text>
    </comment>
    <comment ref="B97" authorId="0" shapeId="0" xr:uid="{79F8BAA3-CCE5-4464-A80E-F7C34C1965FE}">
      <text>
        <r>
          <rPr>
            <b/>
            <sz val="9"/>
            <color indexed="81"/>
            <rFont val="Tahoma"/>
            <family val="2"/>
          </rPr>
          <t>51,786,470</t>
        </r>
        <r>
          <rPr>
            <b/>
            <sz val="9"/>
            <color indexed="81"/>
            <rFont val="細明體"/>
            <family val="3"/>
            <charset val="136"/>
          </rPr>
          <t>元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註</t>
        </r>
        <r>
          <rPr>
            <sz val="9"/>
            <color indexed="81"/>
            <rFont val="Tahoma"/>
            <family val="2"/>
          </rPr>
          <t xml:space="preserve"> 2020/06 </t>
        </r>
        <r>
          <rPr>
            <sz val="9"/>
            <color indexed="81"/>
            <rFont val="細明體"/>
            <family val="3"/>
            <charset val="136"/>
          </rPr>
          <t>檔號</t>
        </r>
        <r>
          <rPr>
            <sz val="9"/>
            <color indexed="81"/>
            <rFont val="Tahoma"/>
            <family val="2"/>
          </rPr>
          <t>202004.03806</t>
        </r>
        <r>
          <rPr>
            <sz val="9"/>
            <color indexed="81"/>
            <rFont val="細明體"/>
            <family val="3"/>
            <charset val="136"/>
          </rPr>
          <t>自數位科技處機械及設備流用至總經理辦公室</t>
        </r>
        <r>
          <rPr>
            <sz val="9"/>
            <color indexed="81"/>
            <rFont val="Tahoma"/>
            <family val="2"/>
          </rPr>
          <t>43,530</t>
        </r>
        <r>
          <rPr>
            <sz val="9"/>
            <color indexed="81"/>
            <rFont val="細明體"/>
            <family val="3"/>
            <charset val="136"/>
          </rPr>
          <t xml:space="preserve">元
</t>
        </r>
        <r>
          <rPr>
            <sz val="9"/>
            <color indexed="81"/>
            <rFont val="Tahoma"/>
            <family val="2"/>
          </rPr>
          <t>(36,500</t>
        </r>
        <r>
          <rPr>
            <sz val="9"/>
            <color indexed="81"/>
            <rFont val="細明體"/>
            <family val="3"/>
            <charset val="136"/>
          </rPr>
          <t>元機械及設備</t>
        </r>
        <r>
          <rPr>
            <sz val="9"/>
            <color indexed="81"/>
            <rFont val="Tahoma"/>
            <family val="2"/>
          </rPr>
          <t>/7,030</t>
        </r>
        <r>
          <rPr>
            <sz val="9"/>
            <color indexed="81"/>
            <rFont val="細明體"/>
            <family val="3"/>
            <charset val="136"/>
          </rPr>
          <t>元電腦軟體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<sst xmlns="http://schemas.openxmlformats.org/spreadsheetml/2006/main" count="1199" uniqueCount="445">
  <si>
    <r>
      <t>2025</t>
    </r>
    <r>
      <rPr>
        <b/>
        <sz val="16"/>
        <color theme="1"/>
        <rFont val="微軟正黑體"/>
        <family val="2"/>
        <charset val="136"/>
      </rPr>
      <t>年營業費用</t>
    </r>
    <phoneticPr fontId="3" type="noConversion"/>
  </si>
  <si>
    <r>
      <rPr>
        <sz val="11"/>
        <color theme="1"/>
        <rFont val="微軟正黑體"/>
        <family val="2"/>
        <charset val="136"/>
      </rPr>
      <t>排序</t>
    </r>
    <phoneticPr fontId="3" type="noConversion"/>
  </si>
  <si>
    <r>
      <rPr>
        <sz val="11"/>
        <color theme="1"/>
        <rFont val="微軟正黑體"/>
        <family val="2"/>
        <charset val="136"/>
      </rPr>
      <t>單位</t>
    </r>
    <phoneticPr fontId="3" type="noConversion"/>
  </si>
  <si>
    <r>
      <rPr>
        <sz val="11"/>
        <color theme="1"/>
        <rFont val="微軟正黑體"/>
        <family val="2"/>
        <charset val="136"/>
      </rPr>
      <t>年度預算金額</t>
    </r>
    <r>
      <rPr>
        <sz val="11"/>
        <color theme="1"/>
        <rFont val="Century Gothic"/>
        <family val="2"/>
      </rPr>
      <t>(</t>
    </r>
    <r>
      <rPr>
        <sz val="11"/>
        <color theme="1"/>
        <rFont val="微軟正黑體"/>
        <family val="2"/>
        <charset val="136"/>
      </rPr>
      <t>仟元</t>
    </r>
    <r>
      <rPr>
        <sz val="11"/>
        <color theme="1"/>
        <rFont val="Century Gothic"/>
        <family val="2"/>
      </rPr>
      <t>)</t>
    </r>
    <phoneticPr fontId="3" type="noConversion"/>
  </si>
  <si>
    <r>
      <rPr>
        <sz val="11"/>
        <color theme="1"/>
        <rFont val="微軟正黑體"/>
        <family val="2"/>
        <charset val="136"/>
      </rPr>
      <t>動支率</t>
    </r>
    <r>
      <rPr>
        <sz val="11"/>
        <color theme="1"/>
        <rFont val="Century Gothic"/>
        <family val="2"/>
      </rPr>
      <t>(%)</t>
    </r>
    <phoneticPr fontId="3" type="noConversion"/>
  </si>
  <si>
    <t>營運管理處</t>
  </si>
  <si>
    <t>董事長室及祕書處</t>
  </si>
  <si>
    <t>數位科技處</t>
  </si>
  <si>
    <t>會計管理組</t>
  </si>
  <si>
    <t>人力資源處</t>
  </si>
  <si>
    <t>風險管理處</t>
  </si>
  <si>
    <t>永續辦公室</t>
  </si>
  <si>
    <t>資訊安全處</t>
  </si>
  <si>
    <t>總經理辦公室</t>
  </si>
  <si>
    <t>資訊處</t>
  </si>
  <si>
    <t>稽核總處</t>
  </si>
  <si>
    <t>法令遵循處</t>
  </si>
  <si>
    <t>財務管理處</t>
  </si>
  <si>
    <r>
      <rPr>
        <sz val="11"/>
        <color theme="0" tint="-0.499984740745262"/>
        <rFont val="微軟正黑體"/>
        <family val="2"/>
        <charset val="136"/>
      </rPr>
      <t>資料日：</t>
    </r>
    <r>
      <rPr>
        <sz val="11"/>
        <color theme="0" tint="-0.499984740745262"/>
        <rFont val="Century Gothic"/>
        <family val="2"/>
      </rPr>
      <t>2025</t>
    </r>
    <r>
      <rPr>
        <sz val="11"/>
        <color theme="0" tint="-0.499984740745262"/>
        <rFont val="微軟正黑體"/>
        <family val="2"/>
        <charset val="136"/>
      </rPr>
      <t>年</t>
    </r>
    <r>
      <rPr>
        <sz val="11"/>
        <color theme="0" tint="-0.499984740745262"/>
        <rFont val="Century Gothic"/>
        <family val="2"/>
      </rPr>
      <t>8</t>
    </r>
    <r>
      <rPr>
        <sz val="11"/>
        <color theme="0" tint="-0.499984740745262"/>
        <rFont val="微軟正黑體"/>
        <family val="2"/>
        <charset val="136"/>
      </rPr>
      <t>月</t>
    </r>
    <phoneticPr fontId="3" type="noConversion"/>
  </si>
  <si>
    <r>
      <rPr>
        <b/>
        <sz val="16"/>
        <color theme="1"/>
        <rFont val="微軟正黑體"/>
        <family val="2"/>
        <charset val="136"/>
      </rPr>
      <t>數位科技處歷年預算</t>
    </r>
    <r>
      <rPr>
        <b/>
        <sz val="16"/>
        <color theme="1"/>
        <rFont val="Century Gothic"/>
        <family val="2"/>
      </rPr>
      <t xml:space="preserve"> </t>
    </r>
    <r>
      <rPr>
        <sz val="16"/>
        <color theme="1"/>
        <rFont val="Century Gothic"/>
        <family val="2"/>
      </rPr>
      <t>(</t>
    </r>
    <r>
      <rPr>
        <b/>
        <sz val="16"/>
        <color theme="1"/>
        <rFont val="微軟正黑體"/>
        <family val="2"/>
        <charset val="136"/>
      </rPr>
      <t>仟元</t>
    </r>
    <r>
      <rPr>
        <sz val="16"/>
        <color theme="1"/>
        <rFont val="Century Gothic"/>
        <family val="2"/>
      </rPr>
      <t>)</t>
    </r>
    <phoneticPr fontId="3" type="noConversion"/>
  </si>
  <si>
    <r>
      <rPr>
        <sz val="11"/>
        <color theme="1"/>
        <rFont val="微軟正黑體"/>
        <family val="2"/>
        <charset val="136"/>
      </rPr>
      <t>年份</t>
    </r>
    <phoneticPr fontId="3" type="noConversion"/>
  </si>
  <si>
    <t>營業費用</t>
    <phoneticPr fontId="3" type="noConversion"/>
  </si>
  <si>
    <t>資本支出 (資訊)
(含筆記型電腦 )</t>
    <phoneticPr fontId="3" type="noConversion"/>
  </si>
  <si>
    <r>
      <rPr>
        <sz val="11"/>
        <color theme="1"/>
        <rFont val="微軟正黑體"/>
        <family val="2"/>
        <charset val="136"/>
      </rPr>
      <t>備註</t>
    </r>
    <phoneticPr fontId="3" type="noConversion"/>
  </si>
  <si>
    <t>原始金額</t>
    <phoneticPr fontId="3" type="noConversion"/>
  </si>
  <si>
    <t>定案金額</t>
    <phoneticPr fontId="3" type="noConversion"/>
  </si>
  <si>
    <t>待核定</t>
    <phoneticPr fontId="3" type="noConversion"/>
  </si>
  <si>
    <r>
      <rPr>
        <sz val="11"/>
        <rFont val="微軟正黑體"/>
        <family val="2"/>
        <charset val="136"/>
      </rPr>
      <t>筆記型電腦</t>
    </r>
    <r>
      <rPr>
        <sz val="11"/>
        <rFont val="Century Gothic"/>
        <family val="2"/>
      </rPr>
      <t xml:space="preserve"> $600
</t>
    </r>
    <r>
      <rPr>
        <sz val="11"/>
        <rFont val="微軟正黑體"/>
        <family val="2"/>
        <charset val="136"/>
      </rPr>
      <t>機械及設備－伺服器</t>
    </r>
    <r>
      <rPr>
        <sz val="11"/>
        <rFont val="Century Gothic"/>
        <family val="2"/>
      </rPr>
      <t xml:space="preserve"> $6,500
</t>
    </r>
    <r>
      <rPr>
        <sz val="11"/>
        <rFont val="微軟正黑體"/>
        <family val="2"/>
        <charset val="136"/>
      </rPr>
      <t>應用軟體</t>
    </r>
    <r>
      <rPr>
        <sz val="11"/>
        <rFont val="Century Gothic"/>
        <family val="2"/>
      </rPr>
      <t xml:space="preserve"> $4,420</t>
    </r>
    <phoneticPr fontId="3" type="noConversion"/>
  </si>
  <si>
    <r>
      <rPr>
        <sz val="11"/>
        <rFont val="微軟正黑體"/>
        <family val="2"/>
        <charset val="136"/>
      </rPr>
      <t>營業費用最終</t>
    </r>
    <r>
      <rPr>
        <sz val="11"/>
        <rFont val="Century Gothic"/>
        <family val="2"/>
      </rPr>
      <t xml:space="preserve"> 7 </t>
    </r>
    <r>
      <rPr>
        <sz val="11"/>
        <rFont val="微軟正黑體"/>
        <family val="2"/>
        <charset val="136"/>
      </rPr>
      <t>折定案</t>
    </r>
    <phoneticPr fontId="3" type="noConversion"/>
  </si>
  <si>
    <r>
      <rPr>
        <sz val="11"/>
        <rFont val="微軟正黑體"/>
        <family val="2"/>
        <charset val="136"/>
      </rPr>
      <t>營業費用最終</t>
    </r>
    <r>
      <rPr>
        <sz val="11"/>
        <rFont val="Century Gothic"/>
        <family val="2"/>
      </rPr>
      <t xml:space="preserve"> 8 </t>
    </r>
    <r>
      <rPr>
        <sz val="11"/>
        <rFont val="微軟正黑體"/>
        <family val="2"/>
        <charset val="136"/>
      </rPr>
      <t>折定案</t>
    </r>
    <phoneticPr fontId="3" type="noConversion"/>
  </si>
  <si>
    <r>
      <rPr>
        <sz val="11"/>
        <rFont val="微軟正黑體"/>
        <family val="2"/>
        <charset val="136"/>
      </rPr>
      <t>營業費用最終</t>
    </r>
    <r>
      <rPr>
        <sz val="11"/>
        <rFont val="Century Gothic"/>
        <family val="2"/>
      </rPr>
      <t xml:space="preserve"> 62 </t>
    </r>
    <r>
      <rPr>
        <sz val="11"/>
        <rFont val="微軟正黑體"/>
        <family val="2"/>
        <charset val="136"/>
      </rPr>
      <t>折定案</t>
    </r>
    <phoneticPr fontId="3" type="noConversion"/>
  </si>
  <si>
    <r>
      <t>2025</t>
    </r>
    <r>
      <rPr>
        <sz val="36"/>
        <color theme="1" tint="0.34998626667073579"/>
        <rFont val="微軟正黑體"/>
        <family val="2"/>
        <charset val="136"/>
      </rPr>
      <t>年度</t>
    </r>
    <phoneticPr fontId="4" type="noConversion"/>
  </si>
  <si>
    <r>
      <t>2026</t>
    </r>
    <r>
      <rPr>
        <sz val="36"/>
        <rFont val="微軟正黑體"/>
        <family val="2"/>
        <charset val="136"/>
      </rPr>
      <t>年度</t>
    </r>
    <phoneticPr fontId="4" type="noConversion"/>
  </si>
  <si>
    <r>
      <t>2020</t>
    </r>
    <r>
      <rPr>
        <sz val="20"/>
        <rFont val="微軟正黑體"/>
        <family val="2"/>
        <charset val="136"/>
      </rPr>
      <t>年費用</t>
    </r>
    <phoneticPr fontId="4" type="noConversion"/>
  </si>
  <si>
    <r>
      <rPr>
        <b/>
        <sz val="20"/>
        <color theme="1" tint="0.34998626667073579"/>
        <rFont val="微軟正黑體"/>
        <family val="2"/>
        <charset val="136"/>
      </rPr>
      <t>營業費用</t>
    </r>
    <phoneticPr fontId="4" type="noConversion"/>
  </si>
  <si>
    <r>
      <rPr>
        <b/>
        <sz val="20"/>
        <color theme="1" tint="0.34998626667073579"/>
        <rFont val="微軟正黑體"/>
        <family val="2"/>
        <charset val="136"/>
      </rPr>
      <t>年度預算</t>
    </r>
    <phoneticPr fontId="3" type="noConversion"/>
  </si>
  <si>
    <r>
      <t>~8</t>
    </r>
    <r>
      <rPr>
        <b/>
        <sz val="20"/>
        <color theme="1" tint="0.34998626667073579"/>
        <rFont val="微軟正黑體"/>
        <family val="2"/>
        <charset val="136"/>
      </rPr>
      <t>月</t>
    </r>
    <r>
      <rPr>
        <b/>
        <sz val="12"/>
        <color theme="1" tint="0.34998626667073579"/>
        <rFont val="Century Gothic"/>
        <family val="2"/>
      </rPr>
      <t>(</t>
    </r>
    <r>
      <rPr>
        <b/>
        <sz val="12"/>
        <color theme="1" tint="0.34998626667073579"/>
        <rFont val="微軟正黑體"/>
        <family val="2"/>
        <charset val="136"/>
      </rPr>
      <t>實際動支</t>
    </r>
    <r>
      <rPr>
        <b/>
        <sz val="12"/>
        <color theme="1" tint="0.34998626667073579"/>
        <rFont val="Century Gothic"/>
        <family val="2"/>
      </rPr>
      <t>)</t>
    </r>
    <phoneticPr fontId="4" type="noConversion"/>
  </si>
  <si>
    <r>
      <t>~12</t>
    </r>
    <r>
      <rPr>
        <b/>
        <sz val="20"/>
        <color theme="1" tint="0.34998626667073579"/>
        <rFont val="微軟正黑體"/>
        <family val="2"/>
        <charset val="136"/>
      </rPr>
      <t>月</t>
    </r>
    <r>
      <rPr>
        <b/>
        <sz val="12"/>
        <color theme="1" tint="0.34998626667073579"/>
        <rFont val="Century Gothic"/>
        <family val="2"/>
      </rPr>
      <t>(</t>
    </r>
    <r>
      <rPr>
        <b/>
        <sz val="12"/>
        <color theme="1" tint="0.34998626667073579"/>
        <rFont val="微軟正黑體"/>
        <family val="2"/>
        <charset val="136"/>
      </rPr>
      <t>年化動支</t>
    </r>
    <r>
      <rPr>
        <b/>
        <sz val="12"/>
        <color theme="1" tint="0.34998626667073579"/>
        <rFont val="Century Gothic"/>
        <family val="2"/>
      </rPr>
      <t>)</t>
    </r>
    <phoneticPr fontId="3" type="noConversion"/>
  </si>
  <si>
    <r>
      <rPr>
        <b/>
        <sz val="20"/>
        <color theme="0"/>
        <rFont val="微軟正黑體"/>
        <family val="2"/>
        <charset val="136"/>
      </rPr>
      <t>本次編列</t>
    </r>
    <phoneticPr fontId="3" type="noConversion"/>
  </si>
  <si>
    <r>
      <rPr>
        <sz val="12"/>
        <rFont val="微軟正黑體"/>
        <family val="2"/>
        <charset val="136"/>
      </rPr>
      <t>預算金額</t>
    </r>
    <r>
      <rPr>
        <sz val="12"/>
        <rFont val="Century Gothic"/>
        <family val="2"/>
      </rPr>
      <t>(</t>
    </r>
    <r>
      <rPr>
        <sz val="12"/>
        <rFont val="微軟正黑體"/>
        <family val="2"/>
        <charset val="136"/>
      </rPr>
      <t>仟元</t>
    </r>
    <r>
      <rPr>
        <sz val="12"/>
        <rFont val="Century Gothic"/>
        <family val="2"/>
      </rPr>
      <t>)</t>
    </r>
    <phoneticPr fontId="4" type="noConversion"/>
  </si>
  <si>
    <r>
      <rPr>
        <sz val="12"/>
        <rFont val="微軟正黑體"/>
        <family val="2"/>
        <charset val="136"/>
      </rPr>
      <t>當年動支金額</t>
    </r>
    <phoneticPr fontId="4" type="noConversion"/>
  </si>
  <si>
    <r>
      <rPr>
        <sz val="12"/>
        <rFont val="微軟正黑體"/>
        <family val="2"/>
        <charset val="136"/>
      </rPr>
      <t>動支率</t>
    </r>
    <r>
      <rPr>
        <sz val="12"/>
        <rFont val="Century Gothic"/>
        <family val="2"/>
      </rPr>
      <t>(%)</t>
    </r>
    <phoneticPr fontId="4" type="noConversion"/>
  </si>
  <si>
    <r>
      <rPr>
        <sz val="12"/>
        <color theme="0"/>
        <rFont val="微軟正黑體"/>
        <family val="2"/>
        <charset val="136"/>
      </rPr>
      <t>費用科目</t>
    </r>
    <phoneticPr fontId="4" type="noConversion"/>
  </si>
  <si>
    <r>
      <rPr>
        <sz val="12"/>
        <color theme="0"/>
        <rFont val="微軟正黑體"/>
        <family val="2"/>
        <charset val="136"/>
      </rPr>
      <t>金額</t>
    </r>
    <r>
      <rPr>
        <sz val="12"/>
        <color theme="0"/>
        <rFont val="Century Gothic"/>
        <family val="2"/>
      </rPr>
      <t>(</t>
    </r>
    <r>
      <rPr>
        <sz val="12"/>
        <color theme="0"/>
        <rFont val="微軟正黑體"/>
        <family val="2"/>
        <charset val="136"/>
      </rPr>
      <t>仟元</t>
    </r>
    <r>
      <rPr>
        <sz val="12"/>
        <color theme="0"/>
        <rFont val="Century Gothic"/>
        <family val="2"/>
      </rPr>
      <t>)</t>
    </r>
    <phoneticPr fontId="4" type="noConversion"/>
  </si>
  <si>
    <t>%</t>
    <phoneticPr fontId="4" type="noConversion"/>
  </si>
  <si>
    <r>
      <rPr>
        <sz val="12"/>
        <color theme="0"/>
        <rFont val="微軟正黑體"/>
        <family val="2"/>
        <charset val="136"/>
      </rPr>
      <t>動支金額</t>
    </r>
    <phoneticPr fontId="4" type="noConversion"/>
  </si>
  <si>
    <r>
      <rPr>
        <sz val="12"/>
        <color theme="0"/>
        <rFont val="微軟正黑體"/>
        <family val="2"/>
        <charset val="136"/>
      </rPr>
      <t>剩餘金額</t>
    </r>
    <phoneticPr fontId="4" type="noConversion"/>
  </si>
  <si>
    <r>
      <rPr>
        <sz val="12"/>
        <color theme="0"/>
        <rFont val="微軟正黑體"/>
        <family val="2"/>
        <charset val="136"/>
      </rPr>
      <t>動支率</t>
    </r>
    <r>
      <rPr>
        <sz val="12"/>
        <color theme="0"/>
        <rFont val="Century Gothic"/>
        <family val="2"/>
      </rPr>
      <t>(%)</t>
    </r>
    <phoneticPr fontId="4" type="noConversion"/>
  </si>
  <si>
    <r>
      <rPr>
        <sz val="12"/>
        <color theme="0"/>
        <rFont val="微軟正黑體"/>
        <family val="2"/>
        <charset val="136"/>
      </rPr>
      <t>成長率</t>
    </r>
    <r>
      <rPr>
        <sz val="12"/>
        <color theme="0"/>
        <rFont val="Century Gothic"/>
        <family val="2"/>
      </rPr>
      <t>(%)</t>
    </r>
    <phoneticPr fontId="4" type="noConversion"/>
  </si>
  <si>
    <r>
      <rPr>
        <sz val="12"/>
        <color theme="0"/>
        <rFont val="微軟正黑體"/>
        <family val="2"/>
        <charset val="136"/>
      </rPr>
      <t>備註說明</t>
    </r>
    <phoneticPr fontId="4" type="noConversion"/>
  </si>
  <si>
    <t>21-100</t>
  </si>
  <si>
    <r>
      <t xml:space="preserve">  </t>
    </r>
    <r>
      <rPr>
        <sz val="12"/>
        <rFont val="微軟正黑體"/>
        <family val="2"/>
        <charset val="136"/>
      </rPr>
      <t>建物維修</t>
    </r>
  </si>
  <si>
    <t>-</t>
    <phoneticPr fontId="4" type="noConversion"/>
  </si>
  <si>
    <r>
      <rPr>
        <sz val="12"/>
        <rFont val="微軟正黑體"/>
        <family val="2"/>
        <charset val="136"/>
      </rPr>
      <t>依照</t>
    </r>
    <r>
      <rPr>
        <sz val="12"/>
        <rFont val="Microsoft JhengHei"/>
        <family val="2"/>
      </rPr>
      <t>營管</t>
    </r>
    <r>
      <rPr>
        <sz val="12"/>
        <rFont val="微軟正黑體"/>
        <family val="2"/>
        <charset val="136"/>
      </rPr>
      <t>處</t>
    </r>
    <r>
      <rPr>
        <sz val="12"/>
        <rFont val="Microsoft JhengHei"/>
        <family val="2"/>
      </rPr>
      <t>報價：</t>
    </r>
    <r>
      <rPr>
        <sz val="12"/>
        <rFont val="微軟正黑體"/>
        <family val="2"/>
        <charset val="136"/>
      </rPr>
      <t xml:space="preserve">
</t>
    </r>
    <r>
      <rPr>
        <sz val="12"/>
        <rFont val="Century Gothic"/>
        <family val="2"/>
      </rPr>
      <t xml:space="preserve">1. </t>
    </r>
    <r>
      <rPr>
        <sz val="12"/>
        <rFont val="微軟正黑體"/>
        <family val="2"/>
        <charset val="136"/>
      </rPr>
      <t>消防和公安申報</t>
    </r>
    <r>
      <rPr>
        <sz val="12"/>
        <rFont val="Century Gothic"/>
        <family val="2"/>
      </rPr>
      <t xml:space="preserve"> 22,000</t>
    </r>
    <r>
      <rPr>
        <sz val="12"/>
        <rFont val="微軟正黑體"/>
        <family val="2"/>
        <charset val="136"/>
      </rPr>
      <t>元</t>
    </r>
    <r>
      <rPr>
        <sz val="12"/>
        <rFont val="Century Gothic"/>
        <family val="2"/>
      </rPr>
      <t>+</t>
    </r>
    <r>
      <rPr>
        <sz val="12"/>
        <rFont val="微軟正黑體"/>
        <family val="2"/>
        <charset val="136"/>
      </rPr>
      <t>檢修約</t>
    </r>
    <r>
      <rPr>
        <sz val="12"/>
        <rFont val="Century Gothic"/>
        <family val="2"/>
      </rPr>
      <t>20,000</t>
    </r>
    <r>
      <rPr>
        <sz val="12"/>
        <rFont val="微軟正黑體"/>
        <family val="2"/>
        <charset val="136"/>
      </rPr>
      <t>元</t>
    </r>
    <r>
      <rPr>
        <sz val="12"/>
        <rFont val="Century Gothic"/>
        <family val="2"/>
      </rPr>
      <t>=42,000</t>
    </r>
    <r>
      <rPr>
        <sz val="12"/>
        <rFont val="微軟正黑體"/>
        <family val="2"/>
        <charset val="136"/>
      </rPr>
      <t>元</t>
    </r>
    <r>
      <rPr>
        <sz val="12"/>
        <rFont val="Century Gothic"/>
        <family val="2"/>
      </rPr>
      <t>/</t>
    </r>
    <r>
      <rPr>
        <sz val="12"/>
        <rFont val="微軟正黑體"/>
        <family val="2"/>
        <charset val="136"/>
      </rPr>
      <t xml:space="preserve">年
</t>
    </r>
    <r>
      <rPr>
        <sz val="12"/>
        <rFont val="Century Gothic"/>
        <family val="2"/>
      </rPr>
      <t xml:space="preserve">2. </t>
    </r>
    <r>
      <rPr>
        <sz val="12"/>
        <rFont val="微軟正黑體"/>
        <family val="2"/>
        <charset val="136"/>
      </rPr>
      <t>室內空調維護</t>
    </r>
    <r>
      <rPr>
        <sz val="12"/>
        <rFont val="Century Gothic"/>
        <family val="2"/>
      </rPr>
      <t xml:space="preserve"> : </t>
    </r>
    <r>
      <rPr>
        <sz val="12"/>
        <rFont val="微軟正黑體"/>
        <family val="2"/>
        <charset val="136"/>
      </rPr>
      <t>一次</t>
    </r>
    <r>
      <rPr>
        <sz val="12"/>
        <rFont val="Century Gothic"/>
        <family val="2"/>
      </rPr>
      <t>1,500</t>
    </r>
    <r>
      <rPr>
        <sz val="12"/>
        <rFont val="微軟正黑體"/>
        <family val="2"/>
        <charset val="136"/>
      </rPr>
      <t>元</t>
    </r>
    <r>
      <rPr>
        <sz val="12"/>
        <rFont val="Century Gothic"/>
        <family val="2"/>
      </rPr>
      <t>@20</t>
    </r>
    <r>
      <rPr>
        <sz val="12"/>
        <rFont val="微軟正黑體"/>
        <family val="2"/>
        <charset val="136"/>
      </rPr>
      <t>台</t>
    </r>
    <r>
      <rPr>
        <sz val="12"/>
        <rFont val="Century Gothic"/>
        <family val="2"/>
      </rPr>
      <t>=30,000</t>
    </r>
    <r>
      <rPr>
        <sz val="12"/>
        <rFont val="微軟正黑體"/>
        <family val="2"/>
        <charset val="136"/>
      </rPr>
      <t>元</t>
    </r>
    <r>
      <rPr>
        <sz val="12"/>
        <rFont val="Century Gothic"/>
        <family val="2"/>
      </rPr>
      <t>/</t>
    </r>
    <r>
      <rPr>
        <sz val="12"/>
        <rFont val="微軟正黑體"/>
        <family val="2"/>
        <charset val="136"/>
      </rPr>
      <t>年
【預期支出】</t>
    </r>
    <r>
      <rPr>
        <sz val="12"/>
        <rFont val="Century Gothic"/>
        <family val="2"/>
      </rPr>
      <t>72</t>
    </r>
    <r>
      <rPr>
        <sz val="12"/>
        <rFont val="微軟正黑體"/>
        <family val="2"/>
        <charset val="136"/>
      </rPr>
      <t>仟元</t>
    </r>
    <r>
      <rPr>
        <sz val="12"/>
        <rFont val="Century Gothic"/>
        <family val="2"/>
      </rPr>
      <t>/</t>
    </r>
    <r>
      <rPr>
        <sz val="12"/>
        <rFont val="微軟正黑體"/>
        <family val="2"/>
        <charset val="136"/>
      </rPr>
      <t>年
【屬預防性支出，建議維持</t>
    </r>
    <r>
      <rPr>
        <sz val="12"/>
        <rFont val="Century Gothic"/>
        <family val="2"/>
      </rPr>
      <t>2025</t>
    </r>
    <r>
      <rPr>
        <sz val="12"/>
        <rFont val="微軟正黑體"/>
        <family val="2"/>
        <charset val="136"/>
      </rPr>
      <t>年預算不變】</t>
    </r>
    <phoneticPr fontId="4" type="noConversion"/>
  </si>
  <si>
    <t>21-201</t>
    <phoneticPr fontId="4" type="noConversion"/>
  </si>
  <si>
    <r>
      <t xml:space="preserve">  </t>
    </r>
    <r>
      <rPr>
        <sz val="12"/>
        <color theme="1"/>
        <rFont val="微軟正黑體"/>
        <family val="2"/>
        <charset val="136"/>
      </rPr>
      <t>房租支出</t>
    </r>
    <r>
      <rPr>
        <sz val="12"/>
        <color theme="1"/>
        <rFont val="Century Gothic"/>
        <family val="2"/>
      </rPr>
      <t>-</t>
    </r>
    <r>
      <rPr>
        <sz val="12"/>
        <color theme="1"/>
        <rFont val="微軟正黑體"/>
        <family val="2"/>
        <charset val="136"/>
      </rPr>
      <t>保證金折現攤銷</t>
    </r>
    <phoneticPr fontId="4" type="noConversion"/>
  </si>
  <si>
    <r>
      <rPr>
        <sz val="12"/>
        <color theme="1"/>
        <rFont val="微軟正黑體"/>
        <family val="2"/>
        <charset val="136"/>
      </rPr>
      <t>依照</t>
    </r>
    <r>
      <rPr>
        <sz val="12"/>
        <color theme="1"/>
        <rFont val="Microsoft JhengHei"/>
        <family val="2"/>
      </rPr>
      <t>會計</t>
    </r>
    <r>
      <rPr>
        <sz val="12"/>
        <color theme="1"/>
        <rFont val="微軟正黑體"/>
        <family val="2"/>
        <charset val="136"/>
      </rPr>
      <t xml:space="preserve">處報價：
</t>
    </r>
    <r>
      <rPr>
        <sz val="12"/>
        <color rgb="FF0000FF"/>
        <rFont val="微軟正黑體"/>
        <family val="2"/>
        <charset val="136"/>
      </rPr>
      <t>房租保證金每月攤銷至租約到期，</t>
    </r>
    <r>
      <rPr>
        <sz val="12"/>
        <color rgb="FF0000FF"/>
        <rFont val="Century Gothic"/>
        <family val="2"/>
      </rPr>
      <t>4,807</t>
    </r>
    <r>
      <rPr>
        <sz val="12"/>
        <color rgb="FF0000FF"/>
        <rFont val="微軟正黑體"/>
        <family val="2"/>
        <charset val="136"/>
      </rPr>
      <t>元</t>
    </r>
    <r>
      <rPr>
        <sz val="12"/>
        <color rgb="FF0000FF"/>
        <rFont val="Century Gothic"/>
        <family val="2"/>
      </rPr>
      <t>/</t>
    </r>
    <r>
      <rPr>
        <sz val="12"/>
        <color rgb="FF0000FF"/>
        <rFont val="微軟正黑體"/>
        <family val="2"/>
        <charset val="136"/>
      </rPr>
      <t>月</t>
    </r>
    <r>
      <rPr>
        <sz val="12"/>
        <color rgb="FF0000FF"/>
        <rFont val="Century Gothic"/>
        <family val="2"/>
      </rPr>
      <t>*12</t>
    </r>
    <r>
      <rPr>
        <sz val="12"/>
        <color rgb="FF0000FF"/>
        <rFont val="微軟正黑體"/>
        <family val="2"/>
        <charset val="136"/>
      </rPr>
      <t>月</t>
    </r>
    <r>
      <rPr>
        <sz val="12"/>
        <color rgb="FF0000FF"/>
        <rFont val="Century Gothic"/>
        <family val="2"/>
      </rPr>
      <t>=57,684</t>
    </r>
    <r>
      <rPr>
        <sz val="12"/>
        <color rgb="FF0000FF"/>
        <rFont val="微軟正黑體"/>
        <family val="2"/>
        <charset val="136"/>
      </rPr>
      <t>元</t>
    </r>
    <r>
      <rPr>
        <sz val="12"/>
        <color rgb="FF0000FF"/>
        <rFont val="Century Gothic"/>
        <family val="2"/>
      </rPr>
      <t>/</t>
    </r>
    <r>
      <rPr>
        <sz val="12"/>
        <color rgb="FF0000FF"/>
        <rFont val="微軟正黑體"/>
        <family val="2"/>
        <charset val="136"/>
      </rPr>
      <t>年</t>
    </r>
    <r>
      <rPr>
        <sz val="12"/>
        <color theme="1"/>
        <rFont val="微軟正黑體"/>
        <family val="2"/>
        <charset val="136"/>
      </rPr>
      <t xml:space="preserve">
【預期支出】</t>
    </r>
    <r>
      <rPr>
        <sz val="12"/>
        <color theme="1"/>
        <rFont val="Century Gothic"/>
        <family val="2"/>
      </rPr>
      <t>58</t>
    </r>
    <r>
      <rPr>
        <sz val="12"/>
        <color theme="1"/>
        <rFont val="微軟正黑體"/>
        <family val="2"/>
        <charset val="136"/>
      </rPr>
      <t>仟元</t>
    </r>
    <r>
      <rPr>
        <sz val="12"/>
        <color theme="1"/>
        <rFont val="Century Gothic"/>
        <family val="2"/>
      </rPr>
      <t>/</t>
    </r>
    <r>
      <rPr>
        <sz val="12"/>
        <color theme="1"/>
        <rFont val="微軟正黑體"/>
        <family val="2"/>
        <charset val="136"/>
      </rPr>
      <t>年</t>
    </r>
    <phoneticPr fontId="4" type="noConversion"/>
  </si>
  <si>
    <t>21-290</t>
    <phoneticPr fontId="4" type="noConversion"/>
  </si>
  <si>
    <r>
      <t xml:space="preserve">  </t>
    </r>
    <r>
      <rPr>
        <sz val="12"/>
        <color theme="1"/>
        <rFont val="微軟正黑體"/>
        <family val="2"/>
        <charset val="136"/>
      </rPr>
      <t>房租支出</t>
    </r>
    <r>
      <rPr>
        <sz val="12"/>
        <color theme="1"/>
        <rFont val="Century Gothic"/>
        <family val="2"/>
      </rPr>
      <t>-</t>
    </r>
    <r>
      <rPr>
        <sz val="12"/>
        <color theme="1"/>
        <rFont val="微軟正黑體"/>
        <family val="2"/>
        <charset val="136"/>
      </rPr>
      <t>其他租賃</t>
    </r>
    <phoneticPr fontId="4" type="noConversion"/>
  </si>
  <si>
    <t>-</t>
  </si>
  <si>
    <r>
      <rPr>
        <sz val="12"/>
        <rFont val="微軟正黑體"/>
        <family val="2"/>
        <charset val="136"/>
      </rPr>
      <t>【將編列於</t>
    </r>
    <r>
      <rPr>
        <sz val="12"/>
        <rFont val="Century Gothic"/>
        <family val="2"/>
      </rPr>
      <t>63-100</t>
    </r>
    <r>
      <rPr>
        <sz val="12"/>
        <rFont val="微軟正黑體"/>
        <family val="2"/>
        <charset val="136"/>
      </rPr>
      <t>使用權資產折舊</t>
    </r>
    <r>
      <rPr>
        <sz val="12"/>
        <rFont val="Century Gothic"/>
        <family val="2"/>
      </rPr>
      <t>-</t>
    </r>
    <r>
      <rPr>
        <sz val="12"/>
        <rFont val="微軟正黑體"/>
        <family val="2"/>
        <charset val="136"/>
      </rPr>
      <t>房屋及建築】</t>
    </r>
    <phoneticPr fontId="4" type="noConversion"/>
  </si>
  <si>
    <t>21-300</t>
    <phoneticPr fontId="4" type="noConversion"/>
  </si>
  <si>
    <r>
      <t xml:space="preserve">  </t>
    </r>
    <r>
      <rPr>
        <sz val="12"/>
        <color theme="1"/>
        <rFont val="微軟正黑體"/>
        <family val="2"/>
        <charset val="136"/>
      </rPr>
      <t>電費</t>
    </r>
    <phoneticPr fontId="4" type="noConversion"/>
  </si>
  <si>
    <r>
      <rPr>
        <sz val="12"/>
        <color rgb="FF0000FF"/>
        <rFont val="微軟正黑體"/>
        <family val="2"/>
        <charset val="136"/>
      </rPr>
      <t>依最</t>
    </r>
    <r>
      <rPr>
        <sz val="12"/>
        <color rgb="FF0000FF"/>
        <rFont val="Microsoft JhengHei"/>
        <family val="2"/>
      </rPr>
      <t>高</t>
    </r>
    <r>
      <rPr>
        <sz val="12"/>
        <color rgb="FF0000FF"/>
        <rFont val="微軟正黑體"/>
        <family val="2"/>
        <charset val="136"/>
      </rPr>
      <t>一期電費</t>
    </r>
    <r>
      <rPr>
        <sz val="12"/>
        <color rgb="FF0000FF"/>
        <rFont val="Century Gothic"/>
        <family val="2"/>
      </rPr>
      <t>$134,476(7</t>
    </r>
    <r>
      <rPr>
        <sz val="12"/>
        <color rgb="FF0000FF"/>
        <rFont val="微軟正黑體"/>
        <family val="2"/>
        <charset val="136"/>
      </rPr>
      <t>月</t>
    </r>
    <r>
      <rPr>
        <sz val="12"/>
        <color rgb="FF0000FF"/>
        <rFont val="Century Gothic"/>
        <family val="2"/>
      </rPr>
      <t xml:space="preserve">)*12 </t>
    </r>
    <r>
      <rPr>
        <sz val="12"/>
        <color rgb="FF0000FF"/>
        <rFont val="微軟正黑體"/>
        <family val="2"/>
        <charset val="136"/>
      </rPr>
      <t>進行編列</t>
    </r>
    <r>
      <rPr>
        <sz val="12"/>
        <color theme="1"/>
        <rFont val="Century Gothic"/>
        <family val="2"/>
        <charset val="136"/>
      </rPr>
      <t xml:space="preserve">
</t>
    </r>
    <r>
      <rPr>
        <sz val="12"/>
        <color theme="1"/>
        <rFont val="Microsoft JhengHei"/>
        <family val="2"/>
        <charset val="136"/>
      </rPr>
      <t>【預期支出】</t>
    </r>
    <r>
      <rPr>
        <sz val="12"/>
        <color theme="1"/>
        <rFont val="Century Gothic"/>
        <family val="2"/>
        <charset val="136"/>
      </rPr>
      <t>1,614</t>
    </r>
    <r>
      <rPr>
        <sz val="12"/>
        <color theme="1"/>
        <rFont val="Microsoft JhengHei"/>
        <family val="2"/>
        <charset val="136"/>
      </rPr>
      <t>仟元</t>
    </r>
    <r>
      <rPr>
        <sz val="12"/>
        <color theme="1"/>
        <rFont val="Century Gothic"/>
        <family val="2"/>
        <charset val="136"/>
      </rPr>
      <t>/</t>
    </r>
    <r>
      <rPr>
        <sz val="12"/>
        <color theme="1"/>
        <rFont val="Microsoft JhengHei"/>
        <family val="2"/>
        <charset val="136"/>
      </rPr>
      <t>年</t>
    </r>
    <phoneticPr fontId="4" type="noConversion"/>
  </si>
  <si>
    <t>21-310</t>
  </si>
  <si>
    <r>
      <t xml:space="preserve">  </t>
    </r>
    <r>
      <rPr>
        <sz val="12"/>
        <color theme="1"/>
        <rFont val="微軟正黑體"/>
        <family val="2"/>
        <charset val="136"/>
      </rPr>
      <t>水費</t>
    </r>
    <phoneticPr fontId="4" type="noConversion"/>
  </si>
  <si>
    <r>
      <rPr>
        <sz val="12"/>
        <color rgb="FF0000FF"/>
        <rFont val="微軟正黑體"/>
        <family val="2"/>
        <charset val="136"/>
      </rPr>
      <t>依最高一期水費</t>
    </r>
    <r>
      <rPr>
        <sz val="12"/>
        <color rgb="FF0000FF"/>
        <rFont val="Century Gothic"/>
        <family val="2"/>
      </rPr>
      <t>$2,709(7</t>
    </r>
    <r>
      <rPr>
        <sz val="12"/>
        <color rgb="FF0000FF"/>
        <rFont val="微軟正黑體"/>
        <family val="2"/>
        <charset val="136"/>
      </rPr>
      <t>月</t>
    </r>
    <r>
      <rPr>
        <sz val="12"/>
        <color rgb="FF0000FF"/>
        <rFont val="Century Gothic"/>
        <family val="2"/>
      </rPr>
      <t xml:space="preserve">)*12 </t>
    </r>
    <r>
      <rPr>
        <sz val="12"/>
        <color rgb="FF0000FF"/>
        <rFont val="微軟正黑體"/>
        <family val="2"/>
        <charset val="136"/>
      </rPr>
      <t>進行編列</t>
    </r>
    <r>
      <rPr>
        <sz val="12"/>
        <color theme="1"/>
        <rFont val="微軟正黑體"/>
        <family val="2"/>
        <charset val="136"/>
      </rPr>
      <t xml:space="preserve">
【預期支出】</t>
    </r>
    <r>
      <rPr>
        <sz val="12"/>
        <color theme="1"/>
        <rFont val="Century Gothic"/>
        <family val="2"/>
      </rPr>
      <t>33</t>
    </r>
    <r>
      <rPr>
        <sz val="12"/>
        <color theme="1"/>
        <rFont val="微軟正黑體"/>
        <family val="2"/>
        <charset val="136"/>
      </rPr>
      <t>仟元</t>
    </r>
    <r>
      <rPr>
        <sz val="12"/>
        <color theme="1"/>
        <rFont val="Century Gothic"/>
        <family val="2"/>
      </rPr>
      <t>/</t>
    </r>
    <r>
      <rPr>
        <sz val="12"/>
        <color theme="1"/>
        <rFont val="微軟正黑體"/>
        <family val="2"/>
        <charset val="136"/>
      </rPr>
      <t>年</t>
    </r>
    <phoneticPr fontId="4" type="noConversion"/>
  </si>
  <si>
    <t>21-320</t>
  </si>
  <si>
    <r>
      <t xml:space="preserve">  </t>
    </r>
    <r>
      <rPr>
        <sz val="12"/>
        <color theme="1"/>
        <rFont val="微軟正黑體"/>
        <family val="2"/>
        <charset val="136"/>
      </rPr>
      <t>瓦斯費</t>
    </r>
  </si>
  <si>
    <r>
      <rPr>
        <sz val="12"/>
        <rFont val="微軟正黑體"/>
        <family val="2"/>
        <charset val="136"/>
      </rPr>
      <t>【本處無需編列】</t>
    </r>
    <phoneticPr fontId="4" type="noConversion"/>
  </si>
  <si>
    <t>21-400</t>
  </si>
  <si>
    <r>
      <t xml:space="preserve">  </t>
    </r>
    <r>
      <rPr>
        <sz val="12"/>
        <color theme="1"/>
        <rFont val="微軟正黑體"/>
        <family val="2"/>
        <charset val="136"/>
      </rPr>
      <t>保全費</t>
    </r>
    <phoneticPr fontId="4" type="noConversion"/>
  </si>
  <si>
    <t>21-600</t>
  </si>
  <si>
    <r>
      <t xml:space="preserve">  </t>
    </r>
    <r>
      <rPr>
        <sz val="12"/>
        <color theme="1"/>
        <rFont val="微軟正黑體"/>
        <family val="2"/>
        <charset val="136"/>
      </rPr>
      <t>環境美化及清潔費</t>
    </r>
    <phoneticPr fontId="4" type="noConversion"/>
  </si>
  <si>
    <r>
      <rPr>
        <sz val="12"/>
        <rFont val="微軟正黑體"/>
        <family val="2"/>
        <charset val="136"/>
      </rPr>
      <t>預期支出計算：</t>
    </r>
    <r>
      <rPr>
        <sz val="12"/>
        <rFont val="Century Gothic"/>
        <family val="2"/>
      </rPr>
      <t xml:space="preserve">
1. </t>
    </r>
    <r>
      <rPr>
        <sz val="12"/>
        <rFont val="微軟正黑體"/>
        <family val="2"/>
        <charset val="136"/>
      </rPr>
      <t>室內消毒</t>
    </r>
    <r>
      <rPr>
        <sz val="12"/>
        <rFont val="Century Gothic"/>
        <family val="2"/>
      </rPr>
      <t xml:space="preserve"> : 6,000</t>
    </r>
    <r>
      <rPr>
        <sz val="12"/>
        <rFont val="微軟正黑體"/>
        <family val="2"/>
        <charset val="136"/>
      </rPr>
      <t>元</t>
    </r>
    <r>
      <rPr>
        <sz val="12"/>
        <rFont val="Century Gothic"/>
        <family val="2"/>
      </rPr>
      <t>/</t>
    </r>
    <r>
      <rPr>
        <sz val="12"/>
        <rFont val="微軟正黑體"/>
        <family val="2"/>
        <charset val="136"/>
      </rPr>
      <t>年</t>
    </r>
    <r>
      <rPr>
        <sz val="12"/>
        <rFont val="Century Gothic"/>
        <family val="2"/>
      </rPr>
      <t xml:space="preserve">
2. </t>
    </r>
    <r>
      <rPr>
        <sz val="12"/>
        <rFont val="微軟正黑體"/>
        <family val="2"/>
        <charset val="136"/>
      </rPr>
      <t>清洗地毯</t>
    </r>
    <r>
      <rPr>
        <sz val="12"/>
        <rFont val="Century Gothic"/>
        <family val="2"/>
      </rPr>
      <t xml:space="preserve"> : 10,000</t>
    </r>
    <r>
      <rPr>
        <sz val="12"/>
        <rFont val="微軟正黑體"/>
        <family val="2"/>
        <charset val="136"/>
      </rPr>
      <t>元</t>
    </r>
    <r>
      <rPr>
        <sz val="12"/>
        <rFont val="Century Gothic"/>
        <family val="2"/>
      </rPr>
      <t>/</t>
    </r>
    <r>
      <rPr>
        <sz val="12"/>
        <rFont val="微軟正黑體"/>
        <family val="2"/>
        <charset val="136"/>
      </rPr>
      <t>年</t>
    </r>
    <r>
      <rPr>
        <sz val="12"/>
        <rFont val="Century Gothic"/>
        <family val="2"/>
      </rPr>
      <t xml:space="preserve">
</t>
    </r>
    <r>
      <rPr>
        <sz val="12"/>
        <color rgb="FF0000FF"/>
        <rFont val="Century Gothic"/>
        <family val="2"/>
      </rPr>
      <t xml:space="preserve">3. </t>
    </r>
    <r>
      <rPr>
        <sz val="12"/>
        <color rgb="FF0000FF"/>
        <rFont val="微軟正黑體"/>
        <family val="2"/>
        <charset val="136"/>
      </rPr>
      <t>清潔服務費：</t>
    </r>
    <r>
      <rPr>
        <sz val="12"/>
        <color rgb="FF0000FF"/>
        <rFont val="Century Gothic"/>
        <family val="2"/>
      </rPr>
      <t>$46,500</t>
    </r>
    <r>
      <rPr>
        <sz val="12"/>
        <color rgb="FF0000FF"/>
        <rFont val="微軟正黑體"/>
        <family val="2"/>
        <charset val="136"/>
      </rPr>
      <t>元/</t>
    </r>
    <r>
      <rPr>
        <sz val="12"/>
        <color rgb="FF0000FF"/>
        <rFont val="Microsoft JhengHei"/>
        <family val="2"/>
      </rPr>
      <t>月</t>
    </r>
    <r>
      <rPr>
        <sz val="12"/>
        <color rgb="FF0000FF"/>
        <rFont val="Century Gothic"/>
        <family val="2"/>
      </rPr>
      <t>(</t>
    </r>
    <r>
      <rPr>
        <sz val="12"/>
        <color rgb="FF0000FF"/>
        <rFont val="微軟正黑體"/>
        <family val="2"/>
        <charset val="136"/>
      </rPr>
      <t>合約固定金額</t>
    </r>
    <r>
      <rPr>
        <sz val="12"/>
        <color rgb="FF0000FF"/>
        <rFont val="Century Gothic"/>
        <family val="2"/>
      </rPr>
      <t>)</t>
    </r>
    <r>
      <rPr>
        <sz val="12"/>
        <color rgb="FF0000FF"/>
        <rFont val="微軟正黑體"/>
        <family val="2"/>
        <charset val="136"/>
      </rPr>
      <t>；</t>
    </r>
    <r>
      <rPr>
        <sz val="12"/>
        <color rgb="FF0000FF"/>
        <rFont val="Century Gothic"/>
        <family val="2"/>
      </rPr>
      <t>558,000</t>
    </r>
    <r>
      <rPr>
        <sz val="12"/>
        <color rgb="FF0000FF"/>
        <rFont val="微軟正黑體"/>
        <family val="2"/>
        <charset val="136"/>
      </rPr>
      <t>元</t>
    </r>
    <r>
      <rPr>
        <sz val="12"/>
        <color rgb="FF0000FF"/>
        <rFont val="Century Gothic"/>
        <family val="2"/>
      </rPr>
      <t>/</t>
    </r>
    <r>
      <rPr>
        <sz val="12"/>
        <color rgb="FF0000FF"/>
        <rFont val="微軟正黑體"/>
        <family val="2"/>
        <charset val="136"/>
      </rPr>
      <t>年</t>
    </r>
    <r>
      <rPr>
        <sz val="12"/>
        <rFont val="Century Gothic"/>
        <family val="2"/>
      </rPr>
      <t xml:space="preserve">
4. </t>
    </r>
    <r>
      <rPr>
        <sz val="12"/>
        <rFont val="微軟正黑體"/>
        <family val="2"/>
        <charset val="136"/>
      </rPr>
      <t>辦公室節慶佈置</t>
    </r>
    <r>
      <rPr>
        <sz val="12"/>
        <rFont val="Century Gothic"/>
        <family val="2"/>
      </rPr>
      <t>20,000</t>
    </r>
    <r>
      <rPr>
        <sz val="12"/>
        <rFont val="微軟正黑體"/>
        <family val="2"/>
        <charset val="136"/>
      </rPr>
      <t>元</t>
    </r>
    <r>
      <rPr>
        <sz val="12"/>
        <rFont val="Century Gothic"/>
        <family val="2"/>
      </rPr>
      <t xml:space="preserve">
</t>
    </r>
    <r>
      <rPr>
        <sz val="12"/>
        <rFont val="微軟正黑體"/>
        <family val="2"/>
        <charset val="136"/>
      </rPr>
      <t>【預期支出】</t>
    </r>
    <r>
      <rPr>
        <sz val="12"/>
        <rFont val="Century Gothic"/>
        <family val="2"/>
      </rPr>
      <t>600</t>
    </r>
    <r>
      <rPr>
        <sz val="12"/>
        <rFont val="微軟正黑體"/>
        <family val="2"/>
        <charset val="136"/>
      </rPr>
      <t>仟元</t>
    </r>
    <r>
      <rPr>
        <sz val="12"/>
        <rFont val="Century Gothic"/>
        <family val="2"/>
      </rPr>
      <t>/</t>
    </r>
    <r>
      <rPr>
        <sz val="12"/>
        <rFont val="微軟正黑體"/>
        <family val="2"/>
        <charset val="136"/>
      </rPr>
      <t>年</t>
    </r>
    <phoneticPr fontId="4" type="noConversion"/>
  </si>
  <si>
    <t>21-700</t>
    <phoneticPr fontId="4" type="noConversion"/>
  </si>
  <si>
    <r>
      <t xml:space="preserve">  </t>
    </r>
    <r>
      <rPr>
        <sz val="12"/>
        <color theme="1"/>
        <rFont val="微軟正黑體"/>
        <family val="2"/>
        <charset val="136"/>
      </rPr>
      <t>大樓管理費</t>
    </r>
    <phoneticPr fontId="4" type="noConversion"/>
  </si>
  <si>
    <r>
      <rPr>
        <sz val="12"/>
        <color theme="1"/>
        <rFont val="微軟正黑體"/>
        <family val="2"/>
        <charset val="136"/>
      </rPr>
      <t>依據管委會公告：</t>
    </r>
    <r>
      <rPr>
        <sz val="12"/>
        <color theme="1"/>
        <rFont val="Century Gothic"/>
        <family val="2"/>
      </rPr>
      <t>2026</t>
    </r>
    <r>
      <rPr>
        <sz val="12"/>
        <color theme="1"/>
        <rFont val="微軟正黑體"/>
        <family val="2"/>
        <charset val="136"/>
      </rPr>
      <t>年起調漲大樓管理費，</t>
    </r>
    <r>
      <rPr>
        <sz val="12"/>
        <color theme="1"/>
        <rFont val="Century Gothic"/>
        <family val="2"/>
      </rPr>
      <t>153</t>
    </r>
    <r>
      <rPr>
        <sz val="12"/>
        <color theme="1"/>
        <rFont val="微軟正黑體"/>
        <family val="2"/>
        <charset val="136"/>
      </rPr>
      <t>元</t>
    </r>
    <r>
      <rPr>
        <sz val="12"/>
        <color theme="1"/>
        <rFont val="Century Gothic"/>
        <family val="2"/>
      </rPr>
      <t>/</t>
    </r>
    <r>
      <rPr>
        <sz val="12"/>
        <color theme="1"/>
        <rFont val="微軟正黑體"/>
        <family val="2"/>
        <charset val="136"/>
      </rPr>
      <t>坪→</t>
    </r>
    <r>
      <rPr>
        <sz val="12"/>
        <color theme="1"/>
        <rFont val="Century Gothic"/>
        <family val="2"/>
      </rPr>
      <t>190</t>
    </r>
    <r>
      <rPr>
        <sz val="12"/>
        <color theme="1"/>
        <rFont val="微軟正黑體"/>
        <family val="2"/>
        <charset val="136"/>
      </rPr>
      <t>元</t>
    </r>
    <r>
      <rPr>
        <sz val="12"/>
        <color theme="1"/>
        <rFont val="Century Gothic"/>
        <family val="2"/>
      </rPr>
      <t>/</t>
    </r>
    <r>
      <rPr>
        <sz val="12"/>
        <color theme="1"/>
        <rFont val="微軟正黑體"/>
        <family val="2"/>
        <charset val="136"/>
      </rPr>
      <t>坪，依承租</t>
    </r>
    <r>
      <rPr>
        <sz val="12"/>
        <color theme="1"/>
        <rFont val="Century Gothic"/>
        <family val="2"/>
      </rPr>
      <t>371.83</t>
    </r>
    <r>
      <rPr>
        <sz val="12"/>
        <color theme="1"/>
        <rFont val="微軟正黑體"/>
        <family val="2"/>
        <charset val="136"/>
      </rPr>
      <t>坪，</t>
    </r>
    <r>
      <rPr>
        <sz val="12"/>
        <color rgb="FF0000FF"/>
        <rFont val="微軟正黑體"/>
        <family val="2"/>
        <charset val="136"/>
      </rPr>
      <t>管理費將由</t>
    </r>
    <r>
      <rPr>
        <sz val="12"/>
        <color rgb="FF0000FF"/>
        <rFont val="Century Gothic"/>
        <family val="2"/>
      </rPr>
      <t>56,890</t>
    </r>
    <r>
      <rPr>
        <sz val="12"/>
        <color rgb="FF0000FF"/>
        <rFont val="微軟正黑體"/>
        <family val="2"/>
        <charset val="136"/>
      </rPr>
      <t>元</t>
    </r>
    <r>
      <rPr>
        <sz val="12"/>
        <color rgb="FF0000FF"/>
        <rFont val="Century Gothic"/>
        <family val="2"/>
      </rPr>
      <t>/</t>
    </r>
    <r>
      <rPr>
        <sz val="12"/>
        <color rgb="FF0000FF"/>
        <rFont val="微軟正黑體"/>
        <family val="2"/>
        <charset val="136"/>
      </rPr>
      <t>月→</t>
    </r>
    <r>
      <rPr>
        <sz val="12"/>
        <color rgb="FF0000FF"/>
        <rFont val="Century Gothic"/>
        <family val="2"/>
      </rPr>
      <t>70,647</t>
    </r>
    <r>
      <rPr>
        <sz val="12"/>
        <color rgb="FF0000FF"/>
        <rFont val="微軟正黑體"/>
        <family val="2"/>
        <charset val="136"/>
      </rPr>
      <t>元</t>
    </r>
    <r>
      <rPr>
        <sz val="12"/>
        <color rgb="FF0000FF"/>
        <rFont val="Century Gothic"/>
        <family val="2"/>
      </rPr>
      <t>/</t>
    </r>
    <r>
      <rPr>
        <sz val="12"/>
        <color rgb="FF0000FF"/>
        <rFont val="微軟正黑體"/>
        <family val="2"/>
        <charset val="136"/>
      </rPr>
      <t>月，</t>
    </r>
    <r>
      <rPr>
        <sz val="12"/>
        <color rgb="FF0000FF"/>
        <rFont val="Century Gothic"/>
        <family val="2"/>
      </rPr>
      <t>70,647</t>
    </r>
    <r>
      <rPr>
        <sz val="12"/>
        <color rgb="FF0000FF"/>
        <rFont val="微軟正黑體"/>
        <family val="2"/>
        <charset val="136"/>
      </rPr>
      <t>元</t>
    </r>
    <r>
      <rPr>
        <sz val="12"/>
        <color rgb="FF0000FF"/>
        <rFont val="Century Gothic"/>
        <family val="2"/>
      </rPr>
      <t>*12</t>
    </r>
    <r>
      <rPr>
        <sz val="12"/>
        <color rgb="FF0000FF"/>
        <rFont val="微軟正黑體"/>
        <family val="2"/>
        <charset val="136"/>
      </rPr>
      <t>月</t>
    </r>
    <r>
      <rPr>
        <sz val="12"/>
        <color rgb="FF0000FF"/>
        <rFont val="Century Gothic"/>
        <family val="2"/>
      </rPr>
      <t>=847,764</t>
    </r>
    <r>
      <rPr>
        <sz val="12"/>
        <color rgb="FF0000FF"/>
        <rFont val="微軟正黑體"/>
        <family val="2"/>
        <charset val="136"/>
      </rPr>
      <t>元</t>
    </r>
    <r>
      <rPr>
        <sz val="12"/>
        <color rgb="FF0000FF"/>
        <rFont val="Century Gothic"/>
        <family val="2"/>
      </rPr>
      <t>/</t>
    </r>
    <r>
      <rPr>
        <sz val="12"/>
        <color rgb="FF0000FF"/>
        <rFont val="微軟正黑體"/>
        <family val="2"/>
        <charset val="136"/>
      </rPr>
      <t>年</t>
    </r>
    <r>
      <rPr>
        <sz val="12"/>
        <color theme="1"/>
        <rFont val="微軟正黑體"/>
        <family val="2"/>
        <charset val="136"/>
      </rPr>
      <t xml:space="preserve">
【預期支出】</t>
    </r>
    <r>
      <rPr>
        <sz val="12"/>
        <color theme="1"/>
        <rFont val="Century Gothic"/>
        <family val="2"/>
      </rPr>
      <t>848</t>
    </r>
    <r>
      <rPr>
        <sz val="12"/>
        <color theme="1"/>
        <rFont val="微軟正黑體"/>
        <family val="2"/>
        <charset val="136"/>
      </rPr>
      <t>仟元</t>
    </r>
    <r>
      <rPr>
        <sz val="12"/>
        <color theme="1"/>
        <rFont val="Century Gothic"/>
        <family val="2"/>
      </rPr>
      <t>/</t>
    </r>
    <r>
      <rPr>
        <sz val="12"/>
        <color theme="1"/>
        <rFont val="微軟正黑體"/>
        <family val="2"/>
        <charset val="136"/>
      </rPr>
      <t>年</t>
    </r>
    <phoneticPr fontId="4" type="noConversion"/>
  </si>
  <si>
    <t>21-900</t>
  </si>
  <si>
    <r>
      <t xml:space="preserve">  </t>
    </r>
    <r>
      <rPr>
        <sz val="12"/>
        <rFont val="微軟正黑體"/>
        <family val="2"/>
        <charset val="136"/>
      </rPr>
      <t>其他場所費用</t>
    </r>
    <phoneticPr fontId="4" type="noConversion"/>
  </si>
  <si>
    <r>
      <rPr>
        <sz val="12"/>
        <rFont val="微軟正黑體"/>
        <family val="2"/>
        <charset val="136"/>
      </rPr>
      <t>場所費用</t>
    </r>
    <phoneticPr fontId="4" type="noConversion"/>
  </si>
  <si>
    <t>22-100</t>
    <phoneticPr fontId="4" type="noConversion"/>
  </si>
  <si>
    <r>
      <t xml:space="preserve">  </t>
    </r>
    <r>
      <rPr>
        <sz val="12"/>
        <rFont val="微軟正黑體"/>
        <family val="2"/>
        <charset val="136"/>
      </rPr>
      <t>自動化設備軟體費</t>
    </r>
    <phoneticPr fontId="4" type="noConversion"/>
  </si>
  <si>
    <r>
      <rPr>
        <sz val="12"/>
        <rFont val="微軟正黑體"/>
        <family val="2"/>
        <charset val="136"/>
      </rPr>
      <t>【該項編列在自動化設備系統</t>
    </r>
    <r>
      <rPr>
        <sz val="12"/>
        <rFont val="Century Gothic"/>
        <family val="2"/>
      </rPr>
      <t>/</t>
    </r>
    <r>
      <rPr>
        <sz val="12"/>
        <rFont val="微軟正黑體"/>
        <family val="2"/>
        <charset val="136"/>
      </rPr>
      <t>軟體使用費，必要時再行流用即可】</t>
    </r>
    <phoneticPr fontId="4" type="noConversion"/>
  </si>
  <si>
    <t>22-200</t>
    <phoneticPr fontId="4" type="noConversion"/>
  </si>
  <si>
    <r>
      <t xml:space="preserve">  </t>
    </r>
    <r>
      <rPr>
        <sz val="12"/>
        <rFont val="微軟正黑體"/>
        <family val="2"/>
        <charset val="136"/>
      </rPr>
      <t>自動化設備維修費</t>
    </r>
    <phoneticPr fontId="4" type="noConversion"/>
  </si>
  <si>
    <t>-</t>
    <phoneticPr fontId="3" type="noConversion"/>
  </si>
  <si>
    <t>22-400</t>
    <phoneticPr fontId="4" type="noConversion"/>
  </si>
  <si>
    <r>
      <t xml:space="preserve">  </t>
    </r>
    <r>
      <rPr>
        <sz val="12"/>
        <rFont val="微軟正黑體"/>
        <family val="2"/>
        <charset val="136"/>
      </rPr>
      <t>自動化設備用品費</t>
    </r>
    <phoneticPr fontId="4" type="noConversion"/>
  </si>
  <si>
    <r>
      <rPr>
        <sz val="12"/>
        <rFont val="微軟正黑體"/>
        <family val="2"/>
        <charset val="136"/>
      </rPr>
      <t>【建議維持</t>
    </r>
    <r>
      <rPr>
        <sz val="12"/>
        <rFont val="Century Gothic"/>
        <family val="2"/>
      </rPr>
      <t>2025</t>
    </r>
    <r>
      <rPr>
        <sz val="12"/>
        <rFont val="微軟正黑體"/>
        <family val="2"/>
        <charset val="136"/>
      </rPr>
      <t>年預算】</t>
    </r>
    <phoneticPr fontId="4" type="noConversion"/>
  </si>
  <si>
    <t>22-600</t>
    <phoneticPr fontId="4" type="noConversion"/>
  </si>
  <si>
    <r>
      <t xml:space="preserve">  </t>
    </r>
    <r>
      <rPr>
        <sz val="12"/>
        <rFont val="微軟正黑體"/>
        <family val="2"/>
        <charset val="136"/>
      </rPr>
      <t>自動化設備系統</t>
    </r>
    <r>
      <rPr>
        <sz val="12"/>
        <rFont val="Century Gothic"/>
        <family val="2"/>
      </rPr>
      <t>/</t>
    </r>
    <r>
      <rPr>
        <sz val="12"/>
        <rFont val="微軟正黑體"/>
        <family val="2"/>
        <charset val="136"/>
      </rPr>
      <t>軟體使用費</t>
    </r>
    <phoneticPr fontId="4" type="noConversion"/>
  </si>
  <si>
    <r>
      <rPr>
        <u/>
        <sz val="12"/>
        <color theme="10"/>
        <rFont val="微軟正黑體"/>
        <family val="2"/>
        <charset val="136"/>
      </rPr>
      <t>詳【各組】</t>
    </r>
    <r>
      <rPr>
        <u/>
        <sz val="12"/>
        <color theme="10"/>
        <rFont val="Century Gothic"/>
        <family val="2"/>
      </rPr>
      <t>2026</t>
    </r>
    <r>
      <rPr>
        <u/>
        <sz val="12"/>
        <color theme="10"/>
        <rFont val="微軟正黑體"/>
        <family val="2"/>
        <charset val="136"/>
      </rPr>
      <t>年預算編列</t>
    </r>
  </si>
  <si>
    <t>22-900</t>
    <phoneticPr fontId="4" type="noConversion"/>
  </si>
  <si>
    <r>
      <rPr>
        <sz val="12"/>
        <rFont val="微軟正黑體"/>
        <family val="2"/>
        <charset val="136"/>
      </rPr>
      <t>其他自動化費用</t>
    </r>
    <phoneticPr fontId="4" type="noConversion"/>
  </si>
  <si>
    <r>
      <rPr>
        <sz val="12"/>
        <rFont val="微軟正黑體"/>
        <family val="2"/>
        <charset val="136"/>
      </rPr>
      <t>自動化設備費用</t>
    </r>
    <phoneticPr fontId="4" type="noConversion"/>
  </si>
  <si>
    <t>23-100</t>
    <phoneticPr fontId="4" type="noConversion"/>
  </si>
  <si>
    <r>
      <t xml:space="preserve"> </t>
    </r>
    <r>
      <rPr>
        <sz val="12"/>
        <rFont val="微軟正黑體"/>
        <family val="2"/>
        <charset val="136"/>
      </rPr>
      <t>辦公用品</t>
    </r>
    <phoneticPr fontId="4" type="noConversion"/>
  </si>
  <si>
    <r>
      <rPr>
        <sz val="12"/>
        <rFont val="微軟正黑體"/>
        <family val="2"/>
        <charset val="136"/>
      </rPr>
      <t>【建議維持</t>
    </r>
    <r>
      <rPr>
        <sz val="12"/>
        <rFont val="Century Gothic"/>
        <family val="2"/>
      </rPr>
      <t>2025</t>
    </r>
    <r>
      <rPr>
        <sz val="12"/>
        <rFont val="微軟正黑體"/>
        <family val="2"/>
        <charset val="136"/>
      </rPr>
      <t>年預算】</t>
    </r>
  </si>
  <si>
    <t>23-200</t>
    <phoneticPr fontId="4" type="noConversion"/>
  </si>
  <si>
    <r>
      <t xml:space="preserve">  </t>
    </r>
    <r>
      <rPr>
        <sz val="12"/>
        <rFont val="微軟正黑體"/>
        <family val="2"/>
        <charset val="136"/>
      </rPr>
      <t>書報雜誌</t>
    </r>
    <r>
      <rPr>
        <sz val="12"/>
        <rFont val="Century Gothic"/>
        <family val="2"/>
      </rPr>
      <t xml:space="preserve"> </t>
    </r>
  </si>
  <si>
    <t>23-300</t>
    <phoneticPr fontId="4" type="noConversion"/>
  </si>
  <si>
    <r>
      <t xml:space="preserve"> </t>
    </r>
    <r>
      <rPr>
        <sz val="12"/>
        <rFont val="微軟正黑體"/>
        <family val="2"/>
        <charset val="136"/>
      </rPr>
      <t>雜項購置</t>
    </r>
    <phoneticPr fontId="3" type="noConversion"/>
  </si>
  <si>
    <t>23-401</t>
    <phoneticPr fontId="4" type="noConversion"/>
  </si>
  <si>
    <r>
      <t xml:space="preserve">  </t>
    </r>
    <r>
      <rPr>
        <sz val="12"/>
        <rFont val="微軟正黑體"/>
        <family val="2"/>
        <charset val="136"/>
      </rPr>
      <t>辦公設備租金</t>
    </r>
    <r>
      <rPr>
        <sz val="12"/>
        <rFont val="Century Gothic"/>
        <family val="2"/>
      </rPr>
      <t>-</t>
    </r>
    <r>
      <rPr>
        <sz val="12"/>
        <rFont val="微軟正黑體"/>
        <family val="2"/>
        <charset val="136"/>
      </rPr>
      <t>保證金折現攤銷</t>
    </r>
    <phoneticPr fontId="4" type="noConversion"/>
  </si>
  <si>
    <t>23-402</t>
    <phoneticPr fontId="4" type="noConversion"/>
  </si>
  <si>
    <r>
      <t xml:space="preserve">  </t>
    </r>
    <r>
      <rPr>
        <sz val="12"/>
        <rFont val="微軟正黑體"/>
        <family val="2"/>
        <charset val="136"/>
      </rPr>
      <t>辦公設備租金</t>
    </r>
    <r>
      <rPr>
        <sz val="12"/>
        <rFont val="Century Gothic"/>
        <family val="2"/>
      </rPr>
      <t>-</t>
    </r>
    <r>
      <rPr>
        <sz val="12"/>
        <rFont val="微軟正黑體"/>
        <family val="2"/>
        <charset val="136"/>
      </rPr>
      <t>短期租賃</t>
    </r>
    <phoneticPr fontId="4" type="noConversion"/>
  </si>
  <si>
    <t>23-403</t>
    <phoneticPr fontId="4" type="noConversion"/>
  </si>
  <si>
    <r>
      <t xml:space="preserve">  </t>
    </r>
    <r>
      <rPr>
        <sz val="12"/>
        <color theme="1"/>
        <rFont val="微軟正黑體"/>
        <family val="2"/>
        <charset val="136"/>
      </rPr>
      <t>辦公設備租金</t>
    </r>
    <r>
      <rPr>
        <sz val="12"/>
        <color theme="1"/>
        <rFont val="Century Gothic"/>
        <family val="2"/>
      </rPr>
      <t>-</t>
    </r>
    <r>
      <rPr>
        <sz val="12"/>
        <color theme="1"/>
        <rFont val="微軟正黑體"/>
        <family val="2"/>
        <charset val="136"/>
      </rPr>
      <t>低價值租賃</t>
    </r>
    <phoneticPr fontId="4" type="noConversion"/>
  </si>
  <si>
    <r>
      <rPr>
        <sz val="12"/>
        <rFont val="微軟正黑體"/>
        <family val="2"/>
        <charset val="136"/>
      </rPr>
      <t>【根據營運管理處盧玟卉提供之費用分攤總表</t>
    </r>
    <r>
      <rPr>
        <sz val="12"/>
        <rFont val="Century Gothic"/>
        <family val="2"/>
      </rPr>
      <t>(</t>
    </r>
    <r>
      <rPr>
        <sz val="12"/>
        <rFont val="微軟正黑體"/>
        <family val="2"/>
        <charset val="136"/>
      </rPr>
      <t>租金</t>
    </r>
    <r>
      <rPr>
        <sz val="12"/>
        <rFont val="Century Gothic"/>
        <family val="2"/>
      </rPr>
      <t>4,300+114/07</t>
    </r>
    <r>
      <rPr>
        <sz val="12"/>
        <rFont val="微軟正黑體"/>
        <family val="2"/>
        <charset val="136"/>
      </rPr>
      <t>計張費</t>
    </r>
    <r>
      <rPr>
        <sz val="12"/>
        <rFont val="Century Gothic"/>
        <family val="2"/>
      </rPr>
      <t>3,905)</t>
    </r>
    <r>
      <rPr>
        <sz val="12"/>
        <rFont val="微軟正黑體"/>
        <family val="2"/>
        <charset val="136"/>
      </rPr>
      <t>推估】</t>
    </r>
    <r>
      <rPr>
        <sz val="12"/>
        <color rgb="FF0000FF"/>
        <rFont val="微軟正黑體"/>
        <family val="2"/>
        <charset val="136"/>
      </rPr>
      <t>事務機租賃費</t>
    </r>
    <r>
      <rPr>
        <sz val="12"/>
        <color rgb="FF0000FF"/>
        <rFont val="Century Gothic"/>
        <family val="2"/>
      </rPr>
      <t>(2</t>
    </r>
    <r>
      <rPr>
        <sz val="12"/>
        <color rgb="FF0000FF"/>
        <rFont val="微軟正黑體"/>
        <family val="2"/>
        <charset val="136"/>
      </rPr>
      <t>台</t>
    </r>
    <r>
      <rPr>
        <sz val="12"/>
        <color rgb="FF0000FF"/>
        <rFont val="Century Gothic"/>
        <family val="2"/>
      </rPr>
      <t>)</t>
    </r>
    <r>
      <rPr>
        <sz val="12"/>
        <color rgb="FF0000FF"/>
        <rFont val="微軟正黑體"/>
        <family val="2"/>
        <charset val="136"/>
      </rPr>
      <t>、計張印刷費</t>
    </r>
    <r>
      <rPr>
        <sz val="12"/>
        <color rgb="FF0000FF"/>
        <rFont val="Century Gothic"/>
        <family val="2"/>
      </rPr>
      <t xml:space="preserve">(A4 </t>
    </r>
    <r>
      <rPr>
        <sz val="12"/>
        <color rgb="FF0000FF"/>
        <rFont val="微軟正黑體"/>
        <family val="2"/>
        <charset val="136"/>
      </rPr>
      <t>黑白</t>
    </r>
    <r>
      <rPr>
        <sz val="12"/>
        <color rgb="FF0000FF"/>
        <rFont val="Century Gothic"/>
        <family val="2"/>
      </rPr>
      <t xml:space="preserve"> 0.35</t>
    </r>
    <r>
      <rPr>
        <sz val="12"/>
        <color rgb="FF0000FF"/>
        <rFont val="微軟正黑體"/>
        <family val="2"/>
        <charset val="136"/>
      </rPr>
      <t>元</t>
    </r>
    <r>
      <rPr>
        <sz val="12"/>
        <color rgb="FF0000FF"/>
        <rFont val="Century Gothic"/>
        <family val="2"/>
      </rPr>
      <t>/</t>
    </r>
    <r>
      <rPr>
        <sz val="12"/>
        <color rgb="FF0000FF"/>
        <rFont val="微軟正黑體"/>
        <family val="2"/>
        <charset val="136"/>
      </rPr>
      <t>張、彩色</t>
    </r>
    <r>
      <rPr>
        <sz val="12"/>
        <color rgb="FF0000FF"/>
        <rFont val="Century Gothic"/>
        <family val="2"/>
      </rPr>
      <t xml:space="preserve"> 4</t>
    </r>
    <r>
      <rPr>
        <sz val="12"/>
        <color rgb="FF0000FF"/>
        <rFont val="微軟正黑體"/>
        <family val="2"/>
        <charset val="136"/>
      </rPr>
      <t>元</t>
    </r>
    <r>
      <rPr>
        <sz val="12"/>
        <color rgb="FF0000FF"/>
        <rFont val="Century Gothic"/>
        <family val="2"/>
      </rPr>
      <t>)</t>
    </r>
    <r>
      <rPr>
        <sz val="12"/>
        <color rgb="FF0000FF"/>
        <rFont val="微軟正黑體"/>
        <family val="2"/>
        <charset val="136"/>
      </rPr>
      <t>；</t>
    </r>
    <r>
      <rPr>
        <sz val="12"/>
        <color rgb="FF0000FF"/>
        <rFont val="Century Gothic"/>
        <family val="2"/>
      </rPr>
      <t>8,205</t>
    </r>
    <r>
      <rPr>
        <sz val="12"/>
        <color rgb="FF0000FF"/>
        <rFont val="微軟正黑體"/>
        <family val="2"/>
        <charset val="136"/>
      </rPr>
      <t>元</t>
    </r>
    <r>
      <rPr>
        <sz val="12"/>
        <color rgb="FF0000FF"/>
        <rFont val="Century Gothic"/>
        <family val="2"/>
      </rPr>
      <t>*12</t>
    </r>
    <r>
      <rPr>
        <sz val="12"/>
        <color rgb="FF0000FF"/>
        <rFont val="微軟正黑體"/>
        <family val="2"/>
        <charset val="136"/>
      </rPr>
      <t>月</t>
    </r>
    <r>
      <rPr>
        <sz val="12"/>
        <color rgb="FF0000FF"/>
        <rFont val="Century Gothic"/>
        <family val="2"/>
      </rPr>
      <t>=98,460</t>
    </r>
    <r>
      <rPr>
        <sz val="12"/>
        <color rgb="FF0000FF"/>
        <rFont val="微軟正黑體"/>
        <family val="2"/>
        <charset val="136"/>
      </rPr>
      <t>元</t>
    </r>
    <r>
      <rPr>
        <sz val="12"/>
        <color rgb="FF0000FF"/>
        <rFont val="Century Gothic"/>
        <family val="2"/>
      </rPr>
      <t>/</t>
    </r>
    <r>
      <rPr>
        <sz val="12"/>
        <color rgb="FF0000FF"/>
        <rFont val="微軟正黑體"/>
        <family val="2"/>
        <charset val="136"/>
      </rPr>
      <t>年</t>
    </r>
    <r>
      <rPr>
        <sz val="12"/>
        <rFont val="Century Gothic"/>
        <family val="2"/>
      </rPr>
      <t xml:space="preserve">
</t>
    </r>
    <r>
      <rPr>
        <sz val="12"/>
        <rFont val="微軟正黑體"/>
        <family val="2"/>
        <charset val="136"/>
      </rPr>
      <t>【預期支出】</t>
    </r>
    <r>
      <rPr>
        <sz val="12"/>
        <rFont val="Century Gothic"/>
        <family val="2"/>
      </rPr>
      <t>99</t>
    </r>
    <r>
      <rPr>
        <sz val="12"/>
        <rFont val="微軟正黑體"/>
        <family val="2"/>
        <charset val="136"/>
      </rPr>
      <t>仟元</t>
    </r>
    <r>
      <rPr>
        <sz val="12"/>
        <rFont val="Century Gothic"/>
        <family val="2"/>
      </rPr>
      <t>/</t>
    </r>
    <r>
      <rPr>
        <sz val="12"/>
        <rFont val="微軟正黑體"/>
        <family val="2"/>
        <charset val="136"/>
      </rPr>
      <t>年</t>
    </r>
    <phoneticPr fontId="4" type="noConversion"/>
  </si>
  <si>
    <t>23-404</t>
    <phoneticPr fontId="4" type="noConversion"/>
  </si>
  <si>
    <r>
      <t xml:space="preserve">  </t>
    </r>
    <r>
      <rPr>
        <sz val="12"/>
        <color theme="1"/>
        <rFont val="微軟正黑體"/>
        <family val="2"/>
        <charset val="136"/>
      </rPr>
      <t>辦公設備租金</t>
    </r>
    <r>
      <rPr>
        <sz val="12"/>
        <color theme="1"/>
        <rFont val="Century Gothic"/>
        <family val="2"/>
      </rPr>
      <t>-</t>
    </r>
    <r>
      <rPr>
        <sz val="12"/>
        <color theme="1"/>
        <rFont val="微軟正黑體"/>
        <family val="2"/>
        <charset val="136"/>
      </rPr>
      <t>變動租賃</t>
    </r>
    <phoneticPr fontId="4" type="noConversion"/>
  </si>
  <si>
    <t>23-490</t>
    <phoneticPr fontId="4" type="noConversion"/>
  </si>
  <si>
    <r>
      <t xml:space="preserve">  </t>
    </r>
    <r>
      <rPr>
        <sz val="12"/>
        <color theme="1"/>
        <rFont val="微軟正黑體"/>
        <family val="2"/>
        <charset val="136"/>
      </rPr>
      <t>辦公設備租金</t>
    </r>
    <r>
      <rPr>
        <sz val="12"/>
        <color theme="1"/>
        <rFont val="Century Gothic"/>
        <family val="2"/>
      </rPr>
      <t>-</t>
    </r>
    <r>
      <rPr>
        <sz val="12"/>
        <color theme="1"/>
        <rFont val="微軟正黑體"/>
        <family val="2"/>
        <charset val="136"/>
      </rPr>
      <t>其他租賃</t>
    </r>
    <phoneticPr fontId="4" type="noConversion"/>
  </si>
  <si>
    <t>23-500</t>
    <phoneticPr fontId="4" type="noConversion"/>
  </si>
  <si>
    <r>
      <t xml:space="preserve">  </t>
    </r>
    <r>
      <rPr>
        <sz val="12"/>
        <color theme="1"/>
        <rFont val="微軟正黑體"/>
        <family val="2"/>
        <charset val="136"/>
      </rPr>
      <t>印刷費</t>
    </r>
  </si>
  <si>
    <t>23-600</t>
    <phoneticPr fontId="4" type="noConversion"/>
  </si>
  <si>
    <r>
      <t xml:space="preserve">  </t>
    </r>
    <r>
      <rPr>
        <sz val="12"/>
        <color theme="1"/>
        <rFont val="微軟正黑體"/>
        <family val="2"/>
        <charset val="136"/>
      </rPr>
      <t>員工服裝費</t>
    </r>
  </si>
  <si>
    <t>23-700</t>
    <phoneticPr fontId="4" type="noConversion"/>
  </si>
  <si>
    <r>
      <t xml:space="preserve">  </t>
    </r>
    <r>
      <rPr>
        <sz val="12"/>
        <color theme="1"/>
        <rFont val="微軟正黑體"/>
        <family val="2"/>
        <charset val="136"/>
      </rPr>
      <t>辦公設備修護</t>
    </r>
    <phoneticPr fontId="4" type="noConversion"/>
  </si>
  <si>
    <r>
      <rPr>
        <sz val="12"/>
        <color theme="1"/>
        <rFont val="微軟正黑體"/>
        <family val="2"/>
        <charset val="136"/>
      </rPr>
      <t>【根據營運管理處盧玟卉提供之費用分攤總表</t>
    </r>
    <r>
      <rPr>
        <sz val="12"/>
        <color theme="1"/>
        <rFont val="Century Gothic"/>
        <family val="2"/>
      </rPr>
      <t>(6</t>
    </r>
    <r>
      <rPr>
        <sz val="12"/>
        <color theme="1"/>
        <rFont val="微軟正黑體"/>
        <family val="2"/>
        <charset val="136"/>
      </rPr>
      <t>月</t>
    </r>
    <r>
      <rPr>
        <sz val="12"/>
        <color theme="1"/>
        <rFont val="Century Gothic"/>
        <family val="2"/>
      </rPr>
      <t>)</t>
    </r>
    <r>
      <rPr>
        <sz val="12"/>
        <color theme="1"/>
        <rFont val="微軟正黑體"/>
        <family val="2"/>
        <charset val="136"/>
      </rPr>
      <t xml:space="preserve">推估】
</t>
    </r>
    <r>
      <rPr>
        <sz val="12"/>
        <color rgb="FF0000FF"/>
        <rFont val="Century Gothic"/>
        <family val="2"/>
      </rPr>
      <t>UPS</t>
    </r>
    <r>
      <rPr>
        <sz val="12"/>
        <color rgb="FF0000FF"/>
        <rFont val="微軟正黑體"/>
        <family val="2"/>
        <charset val="136"/>
      </rPr>
      <t>不斷電設備維護費</t>
    </r>
    <r>
      <rPr>
        <sz val="12"/>
        <color rgb="FF0000FF"/>
        <rFont val="Century Gothic"/>
        <family val="2"/>
      </rPr>
      <t>24,000</t>
    </r>
    <r>
      <rPr>
        <sz val="12"/>
        <color rgb="FF0000FF"/>
        <rFont val="微軟正黑體"/>
        <family val="2"/>
        <charset val="136"/>
      </rPr>
      <t>元</t>
    </r>
    <r>
      <rPr>
        <sz val="12"/>
        <color rgb="FF0000FF"/>
        <rFont val="Century Gothic"/>
        <family val="2"/>
      </rPr>
      <t>/</t>
    </r>
    <r>
      <rPr>
        <sz val="12"/>
        <color rgb="FF0000FF"/>
        <rFont val="微軟正黑體"/>
        <family val="2"/>
        <charset val="136"/>
      </rPr>
      <t>年；交換機系統維護費</t>
    </r>
    <r>
      <rPr>
        <sz val="12"/>
        <color rgb="FF0000FF"/>
        <rFont val="Century Gothic"/>
        <family val="2"/>
      </rPr>
      <t>99,000</t>
    </r>
    <r>
      <rPr>
        <sz val="12"/>
        <color rgb="FF0000FF"/>
        <rFont val="微軟正黑體"/>
        <family val="2"/>
        <charset val="136"/>
      </rPr>
      <t>元</t>
    </r>
    <r>
      <rPr>
        <sz val="12"/>
        <color rgb="FF0000FF"/>
        <rFont val="Century Gothic"/>
        <family val="2"/>
      </rPr>
      <t>/</t>
    </r>
    <r>
      <rPr>
        <sz val="12"/>
        <color rgb="FF0000FF"/>
        <rFont val="微軟正黑體"/>
        <family val="2"/>
        <charset val="136"/>
      </rPr>
      <t>年。</t>
    </r>
    <r>
      <rPr>
        <sz val="12"/>
        <color theme="1"/>
        <rFont val="微軟正黑體"/>
        <family val="2"/>
        <charset val="136"/>
      </rPr>
      <t xml:space="preserve">
【預期支出】</t>
    </r>
    <r>
      <rPr>
        <sz val="12"/>
        <color theme="1"/>
        <rFont val="Century Gothic"/>
        <family val="2"/>
      </rPr>
      <t>123</t>
    </r>
    <r>
      <rPr>
        <sz val="12"/>
        <color theme="1"/>
        <rFont val="微軟正黑體"/>
        <family val="2"/>
        <charset val="136"/>
      </rPr>
      <t>仟元</t>
    </r>
    <r>
      <rPr>
        <sz val="12"/>
        <color theme="1"/>
        <rFont val="Century Gothic"/>
        <family val="2"/>
      </rPr>
      <t>/</t>
    </r>
    <r>
      <rPr>
        <sz val="12"/>
        <color theme="1"/>
        <rFont val="微軟正黑體"/>
        <family val="2"/>
        <charset val="136"/>
      </rPr>
      <t>年</t>
    </r>
    <phoneticPr fontId="4" type="noConversion"/>
  </si>
  <si>
    <t>23-900</t>
    <phoneticPr fontId="4" type="noConversion"/>
  </si>
  <si>
    <r>
      <t xml:space="preserve">  </t>
    </r>
    <r>
      <rPr>
        <sz val="12"/>
        <rFont val="微軟正黑體"/>
        <family val="2"/>
        <charset val="136"/>
      </rPr>
      <t>其他辦公費用</t>
    </r>
    <phoneticPr fontId="4" type="noConversion"/>
  </si>
  <si>
    <r>
      <rPr>
        <sz val="12"/>
        <rFont val="微軟正黑體"/>
        <family val="2"/>
        <charset val="136"/>
      </rPr>
      <t>辦公費用</t>
    </r>
  </si>
  <si>
    <t>24-100</t>
    <phoneticPr fontId="4" type="noConversion"/>
  </si>
  <si>
    <r>
      <t xml:space="preserve">  </t>
    </r>
    <r>
      <rPr>
        <sz val="12"/>
        <color theme="1"/>
        <rFont val="微軟正黑體"/>
        <family val="2"/>
        <charset val="136"/>
      </rPr>
      <t>電話費</t>
    </r>
    <phoneticPr fontId="4" type="noConversion"/>
  </si>
  <si>
    <r>
      <rPr>
        <sz val="12"/>
        <color theme="1"/>
        <rFont val="微軟正黑體"/>
        <family val="2"/>
        <charset val="136"/>
      </rPr>
      <t>【根據營運管理處盧玟卉提供之費用分攤總表</t>
    </r>
    <r>
      <rPr>
        <sz val="12"/>
        <color theme="1"/>
        <rFont val="Century Gothic"/>
        <family val="2"/>
      </rPr>
      <t>(8</t>
    </r>
    <r>
      <rPr>
        <sz val="12"/>
        <color theme="1"/>
        <rFont val="微軟正黑體"/>
        <family val="2"/>
        <charset val="136"/>
      </rPr>
      <t>月</t>
    </r>
    <r>
      <rPr>
        <sz val="12"/>
        <color theme="1"/>
        <rFont val="Century Gothic"/>
        <family val="2"/>
      </rPr>
      <t>)</t>
    </r>
    <r>
      <rPr>
        <sz val="12"/>
        <color theme="1"/>
        <rFont val="微軟正黑體"/>
        <family val="2"/>
        <charset val="136"/>
      </rPr>
      <t xml:space="preserve">推估】
</t>
    </r>
    <r>
      <rPr>
        <sz val="12"/>
        <color rgb="FF0000FF"/>
        <rFont val="Century Gothic"/>
        <family val="2"/>
      </rPr>
      <t>12,411</t>
    </r>
    <r>
      <rPr>
        <sz val="12"/>
        <color rgb="FF0000FF"/>
        <rFont val="微軟正黑體"/>
        <family val="2"/>
        <charset val="136"/>
      </rPr>
      <t>元</t>
    </r>
    <r>
      <rPr>
        <sz val="12"/>
        <color rgb="FF0000FF"/>
        <rFont val="Century Gothic"/>
        <family val="2"/>
      </rPr>
      <t>*12</t>
    </r>
    <r>
      <rPr>
        <sz val="12"/>
        <color rgb="FF0000FF"/>
        <rFont val="微軟正黑體"/>
        <family val="2"/>
        <charset val="136"/>
      </rPr>
      <t>月</t>
    </r>
    <r>
      <rPr>
        <sz val="12"/>
        <color rgb="FF0000FF"/>
        <rFont val="Century Gothic"/>
        <family val="2"/>
      </rPr>
      <t>=148,932</t>
    </r>
    <r>
      <rPr>
        <sz val="12"/>
        <color rgb="FF0000FF"/>
        <rFont val="微軟正黑體"/>
        <family val="2"/>
        <charset val="136"/>
      </rPr>
      <t>元</t>
    </r>
    <r>
      <rPr>
        <sz val="12"/>
        <color rgb="FF0000FF"/>
        <rFont val="Century Gothic"/>
        <family val="2"/>
      </rPr>
      <t>/</t>
    </r>
    <r>
      <rPr>
        <sz val="12"/>
        <color rgb="FF0000FF"/>
        <rFont val="微軟正黑體"/>
        <family val="2"/>
        <charset val="136"/>
      </rPr>
      <t>年</t>
    </r>
    <r>
      <rPr>
        <sz val="12"/>
        <color theme="1"/>
        <rFont val="微軟正黑體"/>
        <family val="2"/>
        <charset val="136"/>
      </rPr>
      <t xml:space="preserve">
【預期支出】</t>
    </r>
    <r>
      <rPr>
        <sz val="12"/>
        <color theme="1"/>
        <rFont val="Century Gothic"/>
        <family val="2"/>
      </rPr>
      <t>149</t>
    </r>
    <r>
      <rPr>
        <sz val="12"/>
        <color theme="1"/>
        <rFont val="微軟正黑體"/>
        <family val="2"/>
        <charset val="136"/>
      </rPr>
      <t>仟元</t>
    </r>
    <r>
      <rPr>
        <sz val="12"/>
        <color theme="1"/>
        <rFont val="Century Gothic"/>
        <family val="2"/>
      </rPr>
      <t>/</t>
    </r>
    <r>
      <rPr>
        <sz val="12"/>
        <color theme="1"/>
        <rFont val="微軟正黑體"/>
        <family val="2"/>
        <charset val="136"/>
      </rPr>
      <t>年</t>
    </r>
    <phoneticPr fontId="4" type="noConversion"/>
  </si>
  <si>
    <t>24-200</t>
    <phoneticPr fontId="4" type="noConversion"/>
  </si>
  <si>
    <r>
      <t xml:space="preserve">  </t>
    </r>
    <r>
      <rPr>
        <sz val="12"/>
        <color theme="1"/>
        <rFont val="微軟正黑體"/>
        <family val="2"/>
        <charset val="136"/>
      </rPr>
      <t>網路通訊費</t>
    </r>
    <phoneticPr fontId="4" type="noConversion"/>
  </si>
  <si>
    <r>
      <rPr>
        <sz val="12"/>
        <color theme="1"/>
        <rFont val="微軟正黑體"/>
        <family val="2"/>
        <charset val="136"/>
      </rPr>
      <t>【根據營運管理處盧玟卉提供之費用分攤總表</t>
    </r>
    <r>
      <rPr>
        <sz val="12"/>
        <color theme="1"/>
        <rFont val="Century Gothic"/>
        <family val="2"/>
      </rPr>
      <t>(8</t>
    </r>
    <r>
      <rPr>
        <sz val="12"/>
        <color theme="1"/>
        <rFont val="微軟正黑體"/>
        <family val="2"/>
        <charset val="136"/>
      </rPr>
      <t>月</t>
    </r>
    <r>
      <rPr>
        <sz val="12"/>
        <color theme="1"/>
        <rFont val="Century Gothic"/>
        <family val="2"/>
      </rPr>
      <t>)</t>
    </r>
    <r>
      <rPr>
        <sz val="12"/>
        <color theme="1"/>
        <rFont val="微軟正黑體"/>
        <family val="2"/>
        <charset val="136"/>
      </rPr>
      <t xml:space="preserve">推估】
</t>
    </r>
    <r>
      <rPr>
        <sz val="12"/>
        <color rgb="FF0000FF"/>
        <rFont val="Century Gothic"/>
        <family val="2"/>
      </rPr>
      <t>75,030</t>
    </r>
    <r>
      <rPr>
        <sz val="12"/>
        <color rgb="FF0000FF"/>
        <rFont val="微軟正黑體"/>
        <family val="2"/>
        <charset val="136"/>
      </rPr>
      <t>元</t>
    </r>
    <r>
      <rPr>
        <sz val="12"/>
        <color rgb="FF0000FF"/>
        <rFont val="Century Gothic"/>
        <family val="2"/>
      </rPr>
      <t>*12</t>
    </r>
    <r>
      <rPr>
        <sz val="12"/>
        <color rgb="FF0000FF"/>
        <rFont val="微軟正黑體"/>
        <family val="2"/>
        <charset val="136"/>
      </rPr>
      <t>月</t>
    </r>
    <r>
      <rPr>
        <sz val="12"/>
        <color rgb="FF0000FF"/>
        <rFont val="Century Gothic"/>
        <family val="2"/>
      </rPr>
      <t>=900,360</t>
    </r>
    <r>
      <rPr>
        <sz val="12"/>
        <color rgb="FF0000FF"/>
        <rFont val="微軟正黑體"/>
        <family val="2"/>
        <charset val="136"/>
      </rPr>
      <t>元</t>
    </r>
    <r>
      <rPr>
        <sz val="12"/>
        <color rgb="FF0000FF"/>
        <rFont val="Century Gothic"/>
        <family val="2"/>
      </rPr>
      <t>/</t>
    </r>
    <r>
      <rPr>
        <sz val="12"/>
        <color rgb="FF0000FF"/>
        <rFont val="微軟正黑體"/>
        <family val="2"/>
        <charset val="136"/>
      </rPr>
      <t>年</t>
    </r>
    <r>
      <rPr>
        <sz val="12"/>
        <color theme="1"/>
        <rFont val="微軟正黑體"/>
        <family val="2"/>
        <charset val="136"/>
      </rPr>
      <t xml:space="preserve">
【預期支出】</t>
    </r>
    <r>
      <rPr>
        <sz val="12"/>
        <color theme="1"/>
        <rFont val="Century Gothic"/>
        <family val="2"/>
      </rPr>
      <t>901</t>
    </r>
    <r>
      <rPr>
        <sz val="12"/>
        <color theme="1"/>
        <rFont val="微軟正黑體"/>
        <family val="2"/>
        <charset val="136"/>
      </rPr>
      <t>仟元</t>
    </r>
    <r>
      <rPr>
        <sz val="12"/>
        <color theme="1"/>
        <rFont val="Century Gothic"/>
        <family val="2"/>
      </rPr>
      <t>/</t>
    </r>
    <r>
      <rPr>
        <sz val="12"/>
        <color theme="1"/>
        <rFont val="微軟正黑體"/>
        <family val="2"/>
        <charset val="136"/>
      </rPr>
      <t>年</t>
    </r>
    <phoneticPr fontId="4" type="noConversion"/>
  </si>
  <si>
    <t>24-500</t>
    <phoneticPr fontId="4" type="noConversion"/>
  </si>
  <si>
    <r>
      <t xml:space="preserve">  </t>
    </r>
    <r>
      <rPr>
        <sz val="12"/>
        <rFont val="微軟正黑體"/>
        <family val="2"/>
        <charset val="136"/>
      </rPr>
      <t>快遞費</t>
    </r>
    <phoneticPr fontId="4" type="noConversion"/>
  </si>
  <si>
    <t>24-600</t>
    <phoneticPr fontId="4" type="noConversion"/>
  </si>
  <si>
    <r>
      <t xml:space="preserve">  </t>
    </r>
    <r>
      <rPr>
        <sz val="12"/>
        <rFont val="微軟正黑體"/>
        <family val="2"/>
        <charset val="136"/>
      </rPr>
      <t>郵資</t>
    </r>
    <phoneticPr fontId="4" type="noConversion"/>
  </si>
  <si>
    <t>24-900</t>
    <phoneticPr fontId="4" type="noConversion"/>
  </si>
  <si>
    <r>
      <t xml:space="preserve">  </t>
    </r>
    <r>
      <rPr>
        <sz val="12"/>
        <rFont val="微軟正黑體"/>
        <family val="2"/>
        <charset val="136"/>
      </rPr>
      <t>其他通訊費用</t>
    </r>
    <phoneticPr fontId="4" type="noConversion"/>
  </si>
  <si>
    <r>
      <rPr>
        <sz val="12"/>
        <rFont val="微軟正黑體"/>
        <family val="2"/>
        <charset val="136"/>
      </rPr>
      <t>通訊費用</t>
    </r>
    <phoneticPr fontId="4" type="noConversion"/>
  </si>
  <si>
    <t>31-100</t>
    <phoneticPr fontId="4" type="noConversion"/>
  </si>
  <si>
    <r>
      <t xml:space="preserve">  </t>
    </r>
    <r>
      <rPr>
        <sz val="12"/>
        <rFont val="微軟正黑體"/>
        <family val="2"/>
        <charset val="136"/>
      </rPr>
      <t>國內差旅費</t>
    </r>
    <phoneticPr fontId="4" type="noConversion"/>
  </si>
  <si>
    <t>31-200</t>
    <phoneticPr fontId="4" type="noConversion"/>
  </si>
  <si>
    <r>
      <t xml:space="preserve">  </t>
    </r>
    <r>
      <rPr>
        <sz val="12"/>
        <rFont val="微軟正黑體"/>
        <family val="2"/>
        <charset val="136"/>
      </rPr>
      <t>國外差旅費</t>
    </r>
    <phoneticPr fontId="4" type="noConversion"/>
  </si>
  <si>
    <r>
      <rPr>
        <sz val="12"/>
        <rFont val="微軟正黑體"/>
        <family val="2"/>
        <charset val="136"/>
      </rPr>
      <t>【建議維持</t>
    </r>
    <r>
      <rPr>
        <sz val="12"/>
        <rFont val="Century Gothic"/>
        <family val="2"/>
      </rPr>
      <t>2025</t>
    </r>
    <r>
      <rPr>
        <sz val="12"/>
        <rFont val="微軟正黑體"/>
        <family val="2"/>
        <charset val="136"/>
      </rPr>
      <t>年預算】含海外論文發表</t>
    </r>
    <r>
      <rPr>
        <sz val="12"/>
        <rFont val="Century Gothic"/>
        <family val="2"/>
      </rPr>
      <t>(2</t>
    </r>
    <r>
      <rPr>
        <sz val="12"/>
        <rFont val="微軟正黑體"/>
        <family val="2"/>
        <charset val="136"/>
      </rPr>
      <t>場</t>
    </r>
    <r>
      <rPr>
        <sz val="12"/>
        <rFont val="Century Gothic"/>
        <family val="2"/>
      </rPr>
      <t>,</t>
    </r>
    <r>
      <rPr>
        <sz val="12"/>
        <rFont val="微軟正黑體"/>
        <family val="2"/>
        <charset val="136"/>
      </rPr>
      <t>各</t>
    </r>
    <r>
      <rPr>
        <sz val="12"/>
        <rFont val="Century Gothic"/>
        <family val="2"/>
      </rPr>
      <t>2</t>
    </r>
    <r>
      <rPr>
        <sz val="12"/>
        <rFont val="微軟正黑體"/>
        <family val="2"/>
        <charset val="136"/>
      </rPr>
      <t>人</t>
    </r>
    <r>
      <rPr>
        <sz val="12"/>
        <rFont val="Century Gothic"/>
        <family val="2"/>
      </rPr>
      <t>)</t>
    </r>
    <phoneticPr fontId="4" type="noConversion"/>
  </si>
  <si>
    <t>31-300</t>
    <phoneticPr fontId="4" type="noConversion"/>
  </si>
  <si>
    <r>
      <t xml:space="preserve">  </t>
    </r>
    <r>
      <rPr>
        <sz val="12"/>
        <rFont val="微軟正黑體"/>
        <family val="2"/>
        <charset val="136"/>
      </rPr>
      <t>車資</t>
    </r>
    <phoneticPr fontId="4" type="noConversion"/>
  </si>
  <si>
    <t>31-400</t>
    <phoneticPr fontId="4" type="noConversion"/>
  </si>
  <si>
    <r>
      <t xml:space="preserve">  </t>
    </r>
    <r>
      <rPr>
        <sz val="12"/>
        <rFont val="微軟正黑體"/>
        <family val="2"/>
        <charset val="136"/>
      </rPr>
      <t>汽油費</t>
    </r>
    <phoneticPr fontId="4" type="noConversion"/>
  </si>
  <si>
    <r>
      <rPr>
        <sz val="12"/>
        <rFont val="微軟正黑體"/>
        <family val="2"/>
        <charset val="136"/>
      </rPr>
      <t>【無配公務車，本處無需編列】</t>
    </r>
    <phoneticPr fontId="4" type="noConversion"/>
  </si>
  <si>
    <t>31-500</t>
    <phoneticPr fontId="4" type="noConversion"/>
  </si>
  <si>
    <r>
      <t xml:space="preserve">  </t>
    </r>
    <r>
      <rPr>
        <sz val="12"/>
        <rFont val="微軟正黑體"/>
        <family val="2"/>
        <charset val="136"/>
      </rPr>
      <t>車輛維修</t>
    </r>
    <phoneticPr fontId="4" type="noConversion"/>
  </si>
  <si>
    <t>31-600</t>
    <phoneticPr fontId="4" type="noConversion"/>
  </si>
  <si>
    <r>
      <t xml:space="preserve">  </t>
    </r>
    <r>
      <rPr>
        <sz val="12"/>
        <rFont val="微軟正黑體"/>
        <family val="2"/>
        <charset val="136"/>
      </rPr>
      <t>車輛稅捐</t>
    </r>
    <phoneticPr fontId="4" type="noConversion"/>
  </si>
  <si>
    <t>31-701</t>
    <phoneticPr fontId="4" type="noConversion"/>
  </si>
  <si>
    <r>
      <t xml:space="preserve">   </t>
    </r>
    <r>
      <rPr>
        <sz val="12"/>
        <rFont val="微軟正黑體"/>
        <family val="2"/>
        <charset val="136"/>
      </rPr>
      <t>交通設備租金</t>
    </r>
    <r>
      <rPr>
        <sz val="12"/>
        <rFont val="Century Gothic"/>
        <family val="2"/>
      </rPr>
      <t>-</t>
    </r>
    <r>
      <rPr>
        <sz val="12"/>
        <rFont val="微軟正黑體"/>
        <family val="2"/>
        <charset val="136"/>
      </rPr>
      <t>保證金折現攤銷</t>
    </r>
    <phoneticPr fontId="4" type="noConversion"/>
  </si>
  <si>
    <t>31-702</t>
    <phoneticPr fontId="4" type="noConversion"/>
  </si>
  <si>
    <r>
      <t xml:space="preserve">   </t>
    </r>
    <r>
      <rPr>
        <sz val="12"/>
        <rFont val="微軟正黑體"/>
        <family val="2"/>
        <charset val="136"/>
      </rPr>
      <t>交通設備租金</t>
    </r>
    <r>
      <rPr>
        <sz val="12"/>
        <rFont val="Century Gothic"/>
        <family val="2"/>
      </rPr>
      <t>-</t>
    </r>
    <r>
      <rPr>
        <sz val="12"/>
        <rFont val="微軟正黑體"/>
        <family val="2"/>
        <charset val="136"/>
      </rPr>
      <t>短期租賃</t>
    </r>
    <phoneticPr fontId="4" type="noConversion"/>
  </si>
  <si>
    <t>31-703</t>
    <phoneticPr fontId="4" type="noConversion"/>
  </si>
  <si>
    <r>
      <t xml:space="preserve">   </t>
    </r>
    <r>
      <rPr>
        <sz val="12"/>
        <rFont val="微軟正黑體"/>
        <family val="2"/>
        <charset val="136"/>
      </rPr>
      <t>交通設備租金</t>
    </r>
    <r>
      <rPr>
        <sz val="12"/>
        <rFont val="Century Gothic"/>
        <family val="2"/>
      </rPr>
      <t>-</t>
    </r>
    <r>
      <rPr>
        <sz val="12"/>
        <rFont val="微軟正黑體"/>
        <family val="2"/>
        <charset val="136"/>
      </rPr>
      <t>低價值租賃</t>
    </r>
    <phoneticPr fontId="4" type="noConversion"/>
  </si>
  <si>
    <t>31-704</t>
    <phoneticPr fontId="4" type="noConversion"/>
  </si>
  <si>
    <r>
      <t xml:space="preserve">   </t>
    </r>
    <r>
      <rPr>
        <sz val="12"/>
        <rFont val="微軟正黑體"/>
        <family val="2"/>
        <charset val="136"/>
      </rPr>
      <t>交通設備租金</t>
    </r>
    <r>
      <rPr>
        <sz val="12"/>
        <rFont val="Century Gothic"/>
        <family val="2"/>
      </rPr>
      <t>-</t>
    </r>
    <r>
      <rPr>
        <sz val="12"/>
        <rFont val="微軟正黑體"/>
        <family val="2"/>
        <charset val="136"/>
      </rPr>
      <t>變動租賃</t>
    </r>
    <phoneticPr fontId="4" type="noConversion"/>
  </si>
  <si>
    <t>31-790</t>
    <phoneticPr fontId="4" type="noConversion"/>
  </si>
  <si>
    <r>
      <t xml:space="preserve">   </t>
    </r>
    <r>
      <rPr>
        <sz val="12"/>
        <rFont val="微軟正黑體"/>
        <family val="2"/>
        <charset val="136"/>
      </rPr>
      <t>交通設備租金</t>
    </r>
    <r>
      <rPr>
        <sz val="12"/>
        <rFont val="Century Gothic"/>
        <family val="2"/>
      </rPr>
      <t>-</t>
    </r>
    <r>
      <rPr>
        <sz val="12"/>
        <rFont val="微軟正黑體"/>
        <family val="2"/>
        <charset val="136"/>
      </rPr>
      <t>其他租賃</t>
    </r>
    <phoneticPr fontId="4" type="noConversion"/>
  </si>
  <si>
    <t>31-900</t>
    <phoneticPr fontId="4" type="noConversion"/>
  </si>
  <si>
    <r>
      <t xml:space="preserve">  </t>
    </r>
    <r>
      <rPr>
        <sz val="12"/>
        <rFont val="微軟正黑體"/>
        <family val="2"/>
        <charset val="136"/>
      </rPr>
      <t>其他交通費</t>
    </r>
    <phoneticPr fontId="4" type="noConversion"/>
  </si>
  <si>
    <r>
      <rPr>
        <sz val="12"/>
        <rFont val="微軟正黑體"/>
        <family val="2"/>
        <charset val="136"/>
      </rPr>
      <t>差旅</t>
    </r>
    <r>
      <rPr>
        <sz val="12"/>
        <rFont val="Century Gothic"/>
        <family val="2"/>
      </rPr>
      <t>/</t>
    </r>
    <r>
      <rPr>
        <sz val="12"/>
        <rFont val="微軟正黑體"/>
        <family val="2"/>
        <charset val="136"/>
      </rPr>
      <t>交通費</t>
    </r>
  </si>
  <si>
    <t>41-100</t>
    <phoneticPr fontId="4" type="noConversion"/>
  </si>
  <si>
    <r>
      <t xml:space="preserve">  </t>
    </r>
    <r>
      <rPr>
        <sz val="12"/>
        <rFont val="微軟正黑體"/>
        <family val="2"/>
        <charset val="136"/>
      </rPr>
      <t>國內交際費</t>
    </r>
    <phoneticPr fontId="4" type="noConversion"/>
  </si>
  <si>
    <r>
      <rPr>
        <sz val="12"/>
        <rFont val="微軟正黑體"/>
        <family val="2"/>
        <charset val="136"/>
      </rPr>
      <t>預期支出計算：
成大產學合作：三節送禮</t>
    </r>
    <r>
      <rPr>
        <sz val="12"/>
        <rFont val="Century Gothic"/>
        <family val="2"/>
      </rPr>
      <t>(2</t>
    </r>
    <r>
      <rPr>
        <sz val="12"/>
        <rFont val="微軟正黑體"/>
        <family val="2"/>
        <charset val="136"/>
      </rPr>
      <t>、</t>
    </r>
    <r>
      <rPr>
        <sz val="12"/>
        <rFont val="Century Gothic"/>
        <family val="2"/>
      </rPr>
      <t>6</t>
    </r>
    <r>
      <rPr>
        <sz val="12"/>
        <rFont val="微軟正黑體"/>
        <family val="2"/>
        <charset val="136"/>
      </rPr>
      <t>、</t>
    </r>
    <r>
      <rPr>
        <sz val="12"/>
        <rFont val="Century Gothic"/>
        <family val="2"/>
      </rPr>
      <t>9</t>
    </r>
    <r>
      <rPr>
        <sz val="12"/>
        <rFont val="微軟正黑體"/>
        <family val="2"/>
        <charset val="136"/>
      </rPr>
      <t>月</t>
    </r>
    <r>
      <rPr>
        <sz val="12"/>
        <rFont val="Century Gothic"/>
        <family val="2"/>
      </rPr>
      <t>)</t>
    </r>
    <r>
      <rPr>
        <sz val="12"/>
        <rFont val="微軟正黑體"/>
        <family val="2"/>
        <charset val="136"/>
      </rPr>
      <t>：</t>
    </r>
    <r>
      <rPr>
        <sz val="12"/>
        <rFont val="Century Gothic"/>
        <family val="2"/>
      </rPr>
      <t>150(</t>
    </r>
    <r>
      <rPr>
        <sz val="12"/>
        <rFont val="微軟正黑體"/>
        <family val="2"/>
        <charset val="136"/>
      </rPr>
      <t>仟元</t>
    </r>
    <r>
      <rPr>
        <sz val="12"/>
        <rFont val="Century Gothic"/>
        <family val="2"/>
      </rPr>
      <t>)-</t>
    </r>
    <r>
      <rPr>
        <sz val="12"/>
        <rFont val="微軟正黑體"/>
        <family val="2"/>
        <charset val="136"/>
      </rPr>
      <t>策略組
【本年度雖動支低，但考量未來仍有發生之可能，建議維持</t>
    </r>
    <r>
      <rPr>
        <sz val="12"/>
        <rFont val="Century Gothic"/>
        <family val="2"/>
      </rPr>
      <t>2025</t>
    </r>
    <r>
      <rPr>
        <sz val="12"/>
        <rFont val="微軟正黑體"/>
        <family val="2"/>
        <charset val="136"/>
      </rPr>
      <t>年預算】</t>
    </r>
    <phoneticPr fontId="4" type="noConversion"/>
  </si>
  <si>
    <t>41-110</t>
    <phoneticPr fontId="4" type="noConversion"/>
  </si>
  <si>
    <r>
      <t xml:space="preserve">  </t>
    </r>
    <r>
      <rPr>
        <sz val="12"/>
        <rFont val="微軟正黑體"/>
        <family val="2"/>
        <charset val="136"/>
      </rPr>
      <t>特支費</t>
    </r>
    <phoneticPr fontId="4" type="noConversion"/>
  </si>
  <si>
    <r>
      <rPr>
        <sz val="12"/>
        <rFont val="微軟正黑體"/>
        <family val="2"/>
        <charset val="136"/>
      </rPr>
      <t>【特支費已取消，將併入國內交際費裡，本處無需編列】</t>
    </r>
    <phoneticPr fontId="4" type="noConversion"/>
  </si>
  <si>
    <t>41-200</t>
    <phoneticPr fontId="4" type="noConversion"/>
  </si>
  <si>
    <r>
      <t xml:space="preserve">  </t>
    </r>
    <r>
      <rPr>
        <sz val="12"/>
        <rFont val="微軟正黑體"/>
        <family val="2"/>
        <charset val="136"/>
      </rPr>
      <t>國外交際費</t>
    </r>
    <phoneticPr fontId="4" type="noConversion"/>
  </si>
  <si>
    <r>
      <rPr>
        <sz val="12"/>
        <rFont val="微軟正黑體"/>
        <family val="2"/>
        <charset val="136"/>
      </rPr>
      <t>【本年度雖未動支，但考量未來仍有發生之可能，建議維持</t>
    </r>
    <r>
      <rPr>
        <sz val="12"/>
        <rFont val="Century Gothic"/>
        <family val="2"/>
      </rPr>
      <t>2025</t>
    </r>
    <r>
      <rPr>
        <sz val="12"/>
        <rFont val="微軟正黑體"/>
        <family val="2"/>
        <charset val="136"/>
      </rPr>
      <t>年預算】</t>
    </r>
    <phoneticPr fontId="4" type="noConversion"/>
  </si>
  <si>
    <t>41-300</t>
    <phoneticPr fontId="4" type="noConversion"/>
  </si>
  <si>
    <r>
      <t xml:space="preserve">  </t>
    </r>
    <r>
      <rPr>
        <sz val="12"/>
        <rFont val="微軟正黑體"/>
        <family val="2"/>
        <charset val="136"/>
      </rPr>
      <t>媒體廣告費</t>
    </r>
    <phoneticPr fontId="4" type="noConversion"/>
  </si>
  <si>
    <t>41-500</t>
    <phoneticPr fontId="4" type="noConversion"/>
  </si>
  <si>
    <r>
      <t xml:space="preserve">  </t>
    </r>
    <r>
      <rPr>
        <sz val="12"/>
        <rFont val="微軟正黑體"/>
        <family val="2"/>
        <charset val="136"/>
      </rPr>
      <t>專案推廣費</t>
    </r>
    <phoneticPr fontId="4" type="noConversion"/>
  </si>
  <si>
    <t>41-700</t>
    <phoneticPr fontId="4" type="noConversion"/>
  </si>
  <si>
    <r>
      <t xml:space="preserve">  CIS</t>
    </r>
    <r>
      <rPr>
        <sz val="12"/>
        <rFont val="微軟正黑體"/>
        <family val="2"/>
        <charset val="136"/>
      </rPr>
      <t>設計推廣費</t>
    </r>
    <phoneticPr fontId="4" type="noConversion"/>
  </si>
  <si>
    <t>41-900</t>
    <phoneticPr fontId="4" type="noConversion"/>
  </si>
  <si>
    <r>
      <t xml:space="preserve">  </t>
    </r>
    <r>
      <rPr>
        <sz val="12"/>
        <rFont val="微軟正黑體"/>
        <family val="2"/>
        <charset val="136"/>
      </rPr>
      <t>其他廣告費</t>
    </r>
    <phoneticPr fontId="4" type="noConversion"/>
  </si>
  <si>
    <t>41-910</t>
    <phoneticPr fontId="4" type="noConversion"/>
  </si>
  <si>
    <r>
      <t xml:space="preserve">  </t>
    </r>
    <r>
      <rPr>
        <sz val="12"/>
        <rFont val="微軟正黑體"/>
        <family val="2"/>
        <charset val="136"/>
      </rPr>
      <t>其他推廣費</t>
    </r>
    <phoneticPr fontId="4" type="noConversion"/>
  </si>
  <si>
    <t>業務推廣費</t>
    <phoneticPr fontId="4" type="noConversion"/>
  </si>
  <si>
    <t>51-100</t>
    <phoneticPr fontId="4" type="noConversion"/>
  </si>
  <si>
    <r>
      <t xml:space="preserve">  </t>
    </r>
    <r>
      <rPr>
        <sz val="12"/>
        <rFont val="微軟正黑體"/>
        <family val="2"/>
        <charset val="136"/>
      </rPr>
      <t>法律費</t>
    </r>
    <r>
      <rPr>
        <sz val="12"/>
        <rFont val="Century Gothic"/>
        <family val="2"/>
      </rPr>
      <t>(</t>
    </r>
    <r>
      <rPr>
        <sz val="12"/>
        <rFont val="微軟正黑體"/>
        <family val="2"/>
        <charset val="136"/>
      </rPr>
      <t>律師公費</t>
    </r>
    <r>
      <rPr>
        <sz val="12"/>
        <rFont val="Century Gothic"/>
        <family val="2"/>
      </rPr>
      <t>)</t>
    </r>
    <phoneticPr fontId="4" type="noConversion"/>
  </si>
  <si>
    <t>51-200</t>
    <phoneticPr fontId="4" type="noConversion"/>
  </si>
  <si>
    <r>
      <t xml:space="preserve">  </t>
    </r>
    <r>
      <rPr>
        <sz val="12"/>
        <rFont val="微軟正黑體"/>
        <family val="2"/>
        <charset val="136"/>
      </rPr>
      <t>會計師公費</t>
    </r>
    <phoneticPr fontId="4" type="noConversion"/>
  </si>
  <si>
    <t>51-300</t>
    <phoneticPr fontId="4" type="noConversion"/>
  </si>
  <si>
    <r>
      <t xml:space="preserve">  </t>
    </r>
    <r>
      <rPr>
        <sz val="12"/>
        <rFont val="微軟正黑體"/>
        <family val="2"/>
        <charset val="136"/>
      </rPr>
      <t>顧問費</t>
    </r>
    <phoneticPr fontId="4" type="noConversion"/>
  </si>
  <si>
    <t>51-400</t>
    <phoneticPr fontId="4" type="noConversion"/>
  </si>
  <si>
    <r>
      <t xml:space="preserve">  </t>
    </r>
    <r>
      <rPr>
        <sz val="12"/>
        <rFont val="微軟正黑體"/>
        <family val="2"/>
        <charset val="136"/>
      </rPr>
      <t>委外人力派遣費</t>
    </r>
    <phoneticPr fontId="4" type="noConversion"/>
  </si>
  <si>
    <r>
      <rPr>
        <sz val="12"/>
        <rFont val="微軟正黑體"/>
        <family val="2"/>
        <charset val="136"/>
      </rPr>
      <t>預期支出計算：</t>
    </r>
    <r>
      <rPr>
        <sz val="12"/>
        <rFont val="Century Gothic"/>
        <family val="2"/>
      </rPr>
      <t>(</t>
    </r>
    <r>
      <rPr>
        <sz val="12"/>
        <rFont val="微軟正黑體"/>
        <family val="2"/>
        <charset val="136"/>
      </rPr>
      <t>每人</t>
    </r>
    <r>
      <rPr>
        <sz val="12"/>
        <rFont val="Century Gothic"/>
        <family val="2"/>
      </rPr>
      <t xml:space="preserve"> 37</t>
    </r>
    <r>
      <rPr>
        <sz val="12"/>
        <rFont val="微軟正黑體"/>
        <family val="2"/>
        <charset val="136"/>
      </rPr>
      <t>仟元</t>
    </r>
    <r>
      <rPr>
        <sz val="12"/>
        <rFont val="Century Gothic"/>
        <family val="2"/>
      </rPr>
      <t>/</t>
    </r>
    <r>
      <rPr>
        <sz val="12"/>
        <rFont val="微軟正黑體"/>
        <family val="2"/>
        <charset val="136"/>
      </rPr>
      <t>月</t>
    </r>
    <r>
      <rPr>
        <sz val="12"/>
        <rFont val="Century Gothic"/>
        <family val="2"/>
      </rPr>
      <t>)*5</t>
    </r>
    <r>
      <rPr>
        <sz val="12"/>
        <rFont val="Microsoft JhengHei"/>
        <family val="2"/>
      </rPr>
      <t>人</t>
    </r>
    <r>
      <rPr>
        <sz val="12"/>
        <rFont val="Century Gothic"/>
        <family val="2"/>
      </rPr>
      <t xml:space="preserve">
</t>
    </r>
    <r>
      <rPr>
        <sz val="12"/>
        <rFont val="微軟正黑體"/>
        <family val="2"/>
        <charset val="136"/>
      </rPr>
      <t>【本年度雖未動支，但考量未來仍有發生之可能，建議維持2025年預算】</t>
    </r>
    <phoneticPr fontId="4" type="noConversion"/>
  </si>
  <si>
    <t>51-900</t>
    <phoneticPr fontId="4" type="noConversion"/>
  </si>
  <si>
    <r>
      <t xml:space="preserve">  </t>
    </r>
    <r>
      <rPr>
        <sz val="12"/>
        <rFont val="微軟正黑體"/>
        <family val="2"/>
        <charset val="136"/>
      </rPr>
      <t>其他專業服務費</t>
    </r>
    <phoneticPr fontId="4" type="noConversion"/>
  </si>
  <si>
    <t>專業服務費用</t>
    <phoneticPr fontId="4" type="noConversion"/>
  </si>
  <si>
    <t>62-200</t>
    <phoneticPr fontId="4" type="noConversion"/>
  </si>
  <si>
    <r>
      <rPr>
        <sz val="12"/>
        <rFont val="微軟正黑體"/>
        <family val="2"/>
        <charset val="136"/>
      </rPr>
      <t>資訊設備折舊</t>
    </r>
    <phoneticPr fontId="4" type="noConversion"/>
  </si>
  <si>
    <r>
      <rPr>
        <sz val="12"/>
        <rFont val="微軟正黑體"/>
        <family val="2"/>
        <charset val="136"/>
      </rPr>
      <t>【依照會計處提供未折減餘額</t>
    </r>
    <r>
      <rPr>
        <sz val="12"/>
        <rFont val="Century Gothic"/>
        <family val="2"/>
      </rPr>
      <t>+2026</t>
    </r>
    <r>
      <rPr>
        <sz val="12"/>
        <rFont val="微軟正黑體"/>
        <family val="2"/>
        <charset val="136"/>
      </rPr>
      <t>預計支出項目提列】</t>
    </r>
    <phoneticPr fontId="4" type="noConversion"/>
  </si>
  <si>
    <t>62-300</t>
    <phoneticPr fontId="4" type="noConversion"/>
  </si>
  <si>
    <r>
      <rPr>
        <sz val="12"/>
        <rFont val="微軟正黑體"/>
        <family val="2"/>
        <charset val="136"/>
      </rPr>
      <t>交通設備折舊</t>
    </r>
    <phoneticPr fontId="4" type="noConversion"/>
  </si>
  <si>
    <t>62-400</t>
    <phoneticPr fontId="4" type="noConversion"/>
  </si>
  <si>
    <r>
      <rPr>
        <sz val="12"/>
        <rFont val="微軟正黑體"/>
        <family val="2"/>
        <charset val="136"/>
      </rPr>
      <t>辦公設備折舊</t>
    </r>
    <phoneticPr fontId="4" type="noConversion"/>
  </si>
  <si>
    <t>62-500</t>
    <phoneticPr fontId="4" type="noConversion"/>
  </si>
  <si>
    <r>
      <rPr>
        <sz val="12"/>
        <rFont val="微軟正黑體"/>
        <family val="2"/>
        <charset val="136"/>
      </rPr>
      <t>什項設備折舊</t>
    </r>
    <phoneticPr fontId="4" type="noConversion"/>
  </si>
  <si>
    <t>62-700</t>
    <phoneticPr fontId="4" type="noConversion"/>
  </si>
  <si>
    <r>
      <rPr>
        <sz val="12"/>
        <rFont val="微軟正黑體"/>
        <family val="2"/>
        <charset val="136"/>
      </rPr>
      <t>租賃權益改良折舊</t>
    </r>
    <phoneticPr fontId="4" type="noConversion"/>
  </si>
  <si>
    <t>62-710</t>
    <phoneticPr fontId="4" type="noConversion"/>
  </si>
  <si>
    <r>
      <rPr>
        <sz val="12"/>
        <rFont val="微軟正黑體"/>
        <family val="2"/>
        <charset val="136"/>
      </rPr>
      <t>除役復原及修復成本折舊</t>
    </r>
    <phoneticPr fontId="4" type="noConversion"/>
  </si>
  <si>
    <t>62-900</t>
    <phoneticPr fontId="4" type="noConversion"/>
  </si>
  <si>
    <r>
      <rPr>
        <sz val="12"/>
        <rFont val="微軟正黑體"/>
        <family val="2"/>
        <charset val="136"/>
      </rPr>
      <t>各項攤銷</t>
    </r>
    <phoneticPr fontId="4" type="noConversion"/>
  </si>
  <si>
    <r>
      <rPr>
        <sz val="12"/>
        <rFont val="微軟正黑體"/>
        <family val="2"/>
        <charset val="136"/>
      </rPr>
      <t>折舊與攤銷</t>
    </r>
  </si>
  <si>
    <t>63-100</t>
    <phoneticPr fontId="4" type="noConversion"/>
  </si>
  <si>
    <r>
      <t xml:space="preserve">  </t>
    </r>
    <r>
      <rPr>
        <sz val="12"/>
        <color theme="1"/>
        <rFont val="微軟正黑體"/>
        <family val="2"/>
        <charset val="136"/>
      </rPr>
      <t>使用權資產折舊</t>
    </r>
    <r>
      <rPr>
        <sz val="12"/>
        <color theme="1"/>
        <rFont val="Century Gothic"/>
        <family val="2"/>
      </rPr>
      <t>-</t>
    </r>
    <r>
      <rPr>
        <sz val="12"/>
        <color theme="1"/>
        <rFont val="微軟正黑體"/>
        <family val="2"/>
        <charset val="136"/>
      </rPr>
      <t>房屋及建築</t>
    </r>
    <phoneticPr fontId="4" type="noConversion"/>
  </si>
  <si>
    <t>63-300</t>
    <phoneticPr fontId="4" type="noConversion"/>
  </si>
  <si>
    <r>
      <t xml:space="preserve">  </t>
    </r>
    <r>
      <rPr>
        <sz val="12"/>
        <rFont val="微軟正黑體"/>
        <family val="2"/>
        <charset val="136"/>
      </rPr>
      <t>使用權資產折舊</t>
    </r>
    <r>
      <rPr>
        <sz val="12"/>
        <rFont val="Century Gothic"/>
        <family val="2"/>
      </rPr>
      <t>-</t>
    </r>
    <r>
      <rPr>
        <sz val="12"/>
        <rFont val="微軟正黑體"/>
        <family val="2"/>
        <charset val="136"/>
      </rPr>
      <t>交通及運輸設備</t>
    </r>
    <phoneticPr fontId="4" type="noConversion"/>
  </si>
  <si>
    <t>63-710</t>
    <phoneticPr fontId="4" type="noConversion"/>
  </si>
  <si>
    <r>
      <t xml:space="preserve">  </t>
    </r>
    <r>
      <rPr>
        <sz val="12"/>
        <rFont val="微軟正黑體"/>
        <family val="2"/>
        <charset val="136"/>
      </rPr>
      <t>使用權資產折舊</t>
    </r>
    <r>
      <rPr>
        <sz val="12"/>
        <rFont val="Century Gothic"/>
        <family val="2"/>
      </rPr>
      <t>-</t>
    </r>
    <r>
      <rPr>
        <sz val="12"/>
        <rFont val="微軟正黑體"/>
        <family val="2"/>
        <charset val="136"/>
      </rPr>
      <t>除役復原及修復成本</t>
    </r>
    <phoneticPr fontId="4" type="noConversion"/>
  </si>
  <si>
    <r>
      <rPr>
        <sz val="12"/>
        <rFont val="微軟正黑體"/>
        <family val="2"/>
        <charset val="136"/>
      </rPr>
      <t>使用權資產折舊</t>
    </r>
    <phoneticPr fontId="4" type="noConversion"/>
  </si>
  <si>
    <t>71-900</t>
    <phoneticPr fontId="4" type="noConversion"/>
  </si>
  <si>
    <r>
      <t xml:space="preserve">  </t>
    </r>
    <r>
      <rPr>
        <sz val="12"/>
        <rFont val="微軟正黑體"/>
        <family val="2"/>
        <charset val="136"/>
      </rPr>
      <t>其他稅捐與規費</t>
    </r>
    <phoneticPr fontId="4" type="noConversion"/>
  </si>
  <si>
    <r>
      <rPr>
        <sz val="12"/>
        <rFont val="微軟正黑體"/>
        <family val="2"/>
        <charset val="136"/>
      </rPr>
      <t>發明專利規費：</t>
    </r>
    <r>
      <rPr>
        <sz val="12"/>
        <rFont val="Century Gothic"/>
        <family val="2"/>
      </rPr>
      <t>9.7(</t>
    </r>
    <r>
      <rPr>
        <sz val="12"/>
        <rFont val="微軟正黑體"/>
        <family val="2"/>
        <charset val="136"/>
      </rPr>
      <t>仟元</t>
    </r>
    <r>
      <rPr>
        <sz val="12"/>
        <rFont val="Century Gothic"/>
        <family val="2"/>
      </rPr>
      <t>)/</t>
    </r>
    <r>
      <rPr>
        <sz val="12"/>
        <rFont val="微軟正黑體"/>
        <family val="2"/>
        <charset val="136"/>
      </rPr>
      <t>件</t>
    </r>
    <r>
      <rPr>
        <sz val="12"/>
        <rFont val="Century Gothic"/>
        <family val="2"/>
      </rPr>
      <t xml:space="preserve">
</t>
    </r>
    <r>
      <rPr>
        <sz val="12"/>
        <rFont val="微軟正黑體"/>
        <family val="2"/>
        <charset val="136"/>
      </rPr>
      <t>新型專利規費：</t>
    </r>
    <r>
      <rPr>
        <sz val="12"/>
        <rFont val="Century Gothic"/>
        <family val="2"/>
      </rPr>
      <t>3(</t>
    </r>
    <r>
      <rPr>
        <sz val="12"/>
        <rFont val="微軟正黑體"/>
        <family val="2"/>
        <charset val="136"/>
      </rPr>
      <t>仟元</t>
    </r>
    <r>
      <rPr>
        <sz val="12"/>
        <rFont val="Century Gothic"/>
        <family val="2"/>
      </rPr>
      <t>)/</t>
    </r>
    <r>
      <rPr>
        <sz val="12"/>
        <rFont val="微軟正黑體"/>
        <family val="2"/>
        <charset val="136"/>
      </rPr>
      <t>件</t>
    </r>
    <r>
      <rPr>
        <sz val="12"/>
        <rFont val="Century Gothic"/>
        <family val="2"/>
      </rPr>
      <t xml:space="preserve">
</t>
    </r>
    <r>
      <rPr>
        <sz val="12"/>
        <rFont val="微軟正黑體"/>
        <family val="2"/>
        <charset val="136"/>
      </rPr>
      <t>【本年度雖動支低，但考量未來仍有發生之可能，建議維持</t>
    </r>
    <r>
      <rPr>
        <sz val="12"/>
        <rFont val="Century Gothic"/>
        <family val="2"/>
      </rPr>
      <t>2025</t>
    </r>
    <r>
      <rPr>
        <sz val="12"/>
        <rFont val="微軟正黑體"/>
        <family val="2"/>
        <charset val="136"/>
      </rPr>
      <t>年預算不變】</t>
    </r>
    <phoneticPr fontId="4" type="noConversion"/>
  </si>
  <si>
    <r>
      <rPr>
        <sz val="12"/>
        <rFont val="微軟正黑體"/>
        <family val="2"/>
        <charset val="136"/>
      </rPr>
      <t>營業稅捐與規費</t>
    </r>
    <phoneticPr fontId="4" type="noConversion"/>
  </si>
  <si>
    <t>91-100</t>
    <phoneticPr fontId="4" type="noConversion"/>
  </si>
  <si>
    <r>
      <t xml:space="preserve">  </t>
    </r>
    <r>
      <rPr>
        <sz val="12"/>
        <rFont val="微軟正黑體"/>
        <family val="2"/>
        <charset val="136"/>
      </rPr>
      <t>節慶支出</t>
    </r>
    <phoneticPr fontId="4" type="noConversion"/>
  </si>
  <si>
    <r>
      <rPr>
        <sz val="12"/>
        <rFont val="微軟正黑體"/>
        <family val="2"/>
        <charset val="136"/>
      </rPr>
      <t>【本年度雖動支低，但考量未來仍有發生之可能，建議維持</t>
    </r>
    <r>
      <rPr>
        <sz val="12"/>
        <rFont val="Century Gothic"/>
        <family val="2"/>
      </rPr>
      <t>2025</t>
    </r>
    <r>
      <rPr>
        <sz val="12"/>
        <rFont val="微軟正黑體"/>
        <family val="2"/>
        <charset val="136"/>
      </rPr>
      <t>年預算不變】</t>
    </r>
    <phoneticPr fontId="4" type="noConversion"/>
  </si>
  <si>
    <t>91-200</t>
    <phoneticPr fontId="4" type="noConversion"/>
  </si>
  <si>
    <r>
      <t xml:space="preserve">  </t>
    </r>
    <r>
      <rPr>
        <sz val="12"/>
        <rFont val="微軟正黑體"/>
        <family val="2"/>
        <charset val="136"/>
      </rPr>
      <t>公會會費</t>
    </r>
    <phoneticPr fontId="4" type="noConversion"/>
  </si>
  <si>
    <r>
      <rPr>
        <sz val="12"/>
        <color rgb="FF0000FF"/>
        <rFont val="微軟正黑體"/>
        <family val="2"/>
        <charset val="136"/>
      </rPr>
      <t>【本次新增】金控「金融科技產業聯盟」</t>
    </r>
    <r>
      <rPr>
        <sz val="12"/>
        <color rgb="FF0000FF"/>
        <rFont val="Century Gothic"/>
        <family val="2"/>
      </rPr>
      <t>(</t>
    </r>
    <r>
      <rPr>
        <sz val="12"/>
        <color rgb="FF0000FF"/>
        <rFont val="微軟正黑體"/>
        <family val="2"/>
        <charset val="136"/>
      </rPr>
      <t>金融總會，以金控為參加主體</t>
    </r>
    <r>
      <rPr>
        <sz val="12"/>
        <color rgb="FF0000FF"/>
        <rFont val="Century Gothic"/>
        <family val="2"/>
      </rPr>
      <t>)</t>
    </r>
    <phoneticPr fontId="4" type="noConversion"/>
  </si>
  <si>
    <t>91-300</t>
    <phoneticPr fontId="4" type="noConversion"/>
  </si>
  <si>
    <r>
      <t xml:space="preserve">  </t>
    </r>
    <r>
      <rPr>
        <sz val="12"/>
        <rFont val="微軟正黑體"/>
        <family val="2"/>
        <charset val="136"/>
      </rPr>
      <t>捐贈</t>
    </r>
    <phoneticPr fontId="4" type="noConversion"/>
  </si>
  <si>
    <t>91-400</t>
    <phoneticPr fontId="4" type="noConversion"/>
  </si>
  <si>
    <r>
      <t xml:space="preserve">  </t>
    </r>
    <r>
      <rPr>
        <sz val="12"/>
        <rFont val="微軟正黑體"/>
        <family val="2"/>
        <charset val="136"/>
      </rPr>
      <t>內部會議費</t>
    </r>
    <phoneticPr fontId="4" type="noConversion"/>
  </si>
  <si>
    <t>91-500</t>
    <phoneticPr fontId="4" type="noConversion"/>
  </si>
  <si>
    <r>
      <t xml:space="preserve">  </t>
    </r>
    <r>
      <rPr>
        <sz val="12"/>
        <rFont val="微軟正黑體"/>
        <family val="2"/>
        <charset val="136"/>
      </rPr>
      <t>董監事及股東會議</t>
    </r>
    <phoneticPr fontId="4" type="noConversion"/>
  </si>
  <si>
    <t>91-900</t>
    <phoneticPr fontId="4" type="noConversion"/>
  </si>
  <si>
    <r>
      <t xml:space="preserve">  </t>
    </r>
    <r>
      <rPr>
        <sz val="12"/>
        <rFont val="微軟正黑體"/>
        <family val="2"/>
        <charset val="136"/>
      </rPr>
      <t>其他雜費</t>
    </r>
    <phoneticPr fontId="4" type="noConversion"/>
  </si>
  <si>
    <r>
      <rPr>
        <sz val="12"/>
        <color rgb="FF0000FF"/>
        <rFont val="微軟正黑體"/>
        <family val="2"/>
        <charset val="136"/>
      </rPr>
      <t>【動支超支主因為</t>
    </r>
    <r>
      <rPr>
        <sz val="12"/>
        <color rgb="FF0000FF"/>
        <rFont val="Century Gothic"/>
        <family val="2"/>
      </rPr>
      <t>AI GO</t>
    </r>
    <r>
      <rPr>
        <sz val="12"/>
        <color rgb="FF0000FF"/>
        <rFont val="微軟正黑體"/>
        <family val="2"/>
        <charset val="136"/>
      </rPr>
      <t>活動獎金</t>
    </r>
    <r>
      <rPr>
        <sz val="12"/>
        <color rgb="FF0000FF"/>
        <rFont val="Century Gothic"/>
        <family val="2"/>
      </rPr>
      <t>(50</t>
    </r>
    <r>
      <rPr>
        <sz val="12"/>
        <color rgb="FF0000FF"/>
        <rFont val="微軟正黑體"/>
        <family val="2"/>
        <charset val="136"/>
      </rPr>
      <t>萬</t>
    </r>
    <r>
      <rPr>
        <sz val="12"/>
        <color rgb="FF0000FF"/>
        <rFont val="Century Gothic"/>
        <family val="2"/>
      </rPr>
      <t>)</t>
    </r>
    <r>
      <rPr>
        <sz val="12"/>
        <color rgb="FF0000FF"/>
        <rFont val="Microsoft JhengHei"/>
        <family val="2"/>
      </rPr>
      <t>所致，由於外部獎項報名費亦使用此科目，</t>
    </r>
    <r>
      <rPr>
        <sz val="12"/>
        <color rgb="FF0000FF"/>
        <rFont val="微軟正黑體"/>
        <family val="2"/>
        <charset val="136"/>
      </rPr>
      <t>建議</t>
    </r>
    <r>
      <rPr>
        <sz val="12"/>
        <color rgb="FF0000FF"/>
        <rFont val="Microsoft JhengHei"/>
        <family val="2"/>
      </rPr>
      <t>增加</t>
    </r>
    <r>
      <rPr>
        <sz val="12"/>
        <color rgb="FF0000FF"/>
        <rFont val="Century Gothic"/>
        <family val="2"/>
      </rPr>
      <t>2026</t>
    </r>
    <r>
      <rPr>
        <sz val="12"/>
        <color rgb="FF0000FF"/>
        <rFont val="微軟正黑體"/>
        <family val="2"/>
        <charset val="136"/>
      </rPr>
      <t>年預算】</t>
    </r>
    <phoneticPr fontId="4" type="noConversion"/>
  </si>
  <si>
    <r>
      <rPr>
        <sz val="12"/>
        <rFont val="微軟正黑體"/>
        <family val="2"/>
        <charset val="136"/>
      </rPr>
      <t>其他費用</t>
    </r>
    <phoneticPr fontId="4" type="noConversion"/>
  </si>
  <si>
    <r>
      <rPr>
        <sz val="12"/>
        <color theme="0"/>
        <rFont val="微軟正黑體"/>
        <family val="2"/>
        <charset val="136"/>
      </rPr>
      <t>總預算</t>
    </r>
    <phoneticPr fontId="4" type="noConversion"/>
  </si>
  <si>
    <r>
      <t>2021</t>
    </r>
    <r>
      <rPr>
        <sz val="20"/>
        <rFont val="微軟正黑體"/>
        <family val="2"/>
        <charset val="136"/>
      </rPr>
      <t>年資本支出</t>
    </r>
    <phoneticPr fontId="4" type="noConversion"/>
  </si>
  <si>
    <r>
      <rPr>
        <b/>
        <sz val="20"/>
        <color theme="1" tint="0.34998626667073579"/>
        <rFont val="微軟正黑體"/>
        <family val="2"/>
        <charset val="136"/>
      </rPr>
      <t>資本支出</t>
    </r>
    <r>
      <rPr>
        <sz val="20"/>
        <color theme="1" tint="0.34998626667073579"/>
        <rFont val="Century Gothic"/>
        <family val="2"/>
      </rPr>
      <t xml:space="preserve"> </t>
    </r>
    <r>
      <rPr>
        <sz val="14"/>
        <color theme="1" tint="0.34998626667073579"/>
        <rFont val="Century Gothic"/>
        <family val="2"/>
      </rPr>
      <t>(</t>
    </r>
    <r>
      <rPr>
        <sz val="14"/>
        <color theme="1" tint="0.34998626667073579"/>
        <rFont val="微軟正黑體"/>
        <family val="2"/>
        <charset val="136"/>
      </rPr>
      <t>編列於資訊處</t>
    </r>
    <r>
      <rPr>
        <sz val="14"/>
        <color theme="1" tint="0.34998626667073579"/>
        <rFont val="Century Gothic"/>
        <family val="2"/>
      </rPr>
      <t>)</t>
    </r>
    <phoneticPr fontId="4" type="noConversion"/>
  </si>
  <si>
    <r>
      <rPr>
        <sz val="12"/>
        <color theme="0"/>
        <rFont val="微軟正黑體"/>
        <family val="2"/>
        <charset val="136"/>
      </rPr>
      <t>資本支出分類</t>
    </r>
    <phoneticPr fontId="4" type="noConversion"/>
  </si>
  <si>
    <r>
      <rPr>
        <sz val="12"/>
        <rFont val="微軟正黑體"/>
        <family val="2"/>
        <charset val="136"/>
      </rPr>
      <t>機械及設備</t>
    </r>
    <phoneticPr fontId="4" type="noConversion"/>
  </si>
  <si>
    <t>筆記型電腦</t>
    <phoneticPr fontId="4" type="noConversion"/>
  </si>
  <si>
    <r>
      <rPr>
        <sz val="12"/>
        <rFont val="微軟正黑體"/>
        <family val="2"/>
        <charset val="136"/>
      </rPr>
      <t xml:space="preserve">筆記型電腦	</t>
    </r>
    <r>
      <rPr>
        <sz val="12"/>
        <rFont val="Century Gothic"/>
        <family val="2"/>
      </rPr>
      <t xml:space="preserve">$600 	</t>
    </r>
    <r>
      <rPr>
        <sz val="12"/>
        <rFont val="微軟正黑體"/>
        <family val="2"/>
        <charset val="136"/>
      </rPr>
      <t>共用</t>
    </r>
    <phoneticPr fontId="4" type="noConversion"/>
  </si>
  <si>
    <t>機械及設備</t>
    <phoneticPr fontId="4" type="noConversion"/>
  </si>
  <si>
    <t>機械及設備－伺服器</t>
    <phoneticPr fontId="4" type="noConversion"/>
  </si>
  <si>
    <r>
      <rPr>
        <sz val="12"/>
        <rFont val="微軟正黑體"/>
        <family val="2"/>
        <charset val="136"/>
      </rPr>
      <t>電腦軟體</t>
    </r>
    <phoneticPr fontId="4" type="noConversion"/>
  </si>
  <si>
    <t>應用軟體</t>
    <phoneticPr fontId="4" type="noConversion"/>
  </si>
  <si>
    <r>
      <rPr>
        <b/>
        <sz val="20"/>
        <color theme="1" tint="0.34998626667073579"/>
        <rFont val="微軟正黑體"/>
        <family val="2"/>
        <charset val="136"/>
      </rPr>
      <t>資本支出</t>
    </r>
    <r>
      <rPr>
        <b/>
        <sz val="20"/>
        <color theme="1" tint="0.34998626667073579"/>
        <rFont val="Century Gothic"/>
        <family val="2"/>
      </rPr>
      <t xml:space="preserve"> </t>
    </r>
    <r>
      <rPr>
        <sz val="14"/>
        <color theme="1" tint="0.34998626667073579"/>
        <rFont val="Century Gothic"/>
        <family val="2"/>
      </rPr>
      <t>(</t>
    </r>
    <r>
      <rPr>
        <sz val="14"/>
        <color theme="1" tint="0.34998626667073579"/>
        <rFont val="微軟正黑體"/>
        <family val="2"/>
        <charset val="136"/>
      </rPr>
      <t>編列於數科處</t>
    </r>
    <r>
      <rPr>
        <sz val="14"/>
        <color theme="1" tint="0.34998626667073579"/>
        <rFont val="Century Gothic"/>
        <family val="2"/>
      </rPr>
      <t>)</t>
    </r>
    <phoneticPr fontId="4" type="noConversion"/>
  </si>
  <si>
    <r>
      <rPr>
        <sz val="12"/>
        <color theme="0"/>
        <rFont val="微軟正黑體"/>
        <family val="2"/>
        <charset val="136"/>
      </rPr>
      <t>資本支出分類</t>
    </r>
  </si>
  <si>
    <r>
      <rPr>
        <sz val="12"/>
        <color theme="0"/>
        <rFont val="微軟正黑體"/>
        <family val="2"/>
        <charset val="136"/>
      </rPr>
      <t>預算金額</t>
    </r>
    <r>
      <rPr>
        <sz val="12"/>
        <color theme="0"/>
        <rFont val="Century Gothic"/>
        <family val="2"/>
      </rPr>
      <t>(</t>
    </r>
    <r>
      <rPr>
        <sz val="12"/>
        <color theme="0"/>
        <rFont val="微軟正黑體"/>
        <family val="2"/>
        <charset val="136"/>
      </rPr>
      <t>仟元</t>
    </r>
    <r>
      <rPr>
        <sz val="12"/>
        <color theme="0"/>
        <rFont val="Century Gothic"/>
        <family val="2"/>
      </rPr>
      <t>)</t>
    </r>
    <phoneticPr fontId="4" type="noConversion"/>
  </si>
  <si>
    <r>
      <rPr>
        <sz val="12"/>
        <rFont val="微軟正黑體"/>
        <family val="2"/>
        <charset val="136"/>
      </rPr>
      <t>租賃權益改良</t>
    </r>
    <phoneticPr fontId="4" type="noConversion"/>
  </si>
  <si>
    <r>
      <rPr>
        <sz val="12"/>
        <rFont val="微軟正黑體"/>
        <family val="2"/>
        <charset val="136"/>
      </rPr>
      <t>辦公室裝潢、施作</t>
    </r>
    <r>
      <rPr>
        <sz val="12"/>
        <rFont val="Century Gothic"/>
        <family val="2"/>
      </rPr>
      <t>(</t>
    </r>
    <r>
      <rPr>
        <sz val="12"/>
        <rFont val="微軟正黑體"/>
        <family val="2"/>
        <charset val="136"/>
      </rPr>
      <t>含設計費</t>
    </r>
    <r>
      <rPr>
        <sz val="12"/>
        <rFont val="Century Gothic"/>
        <family val="2"/>
      </rPr>
      <t>)</t>
    </r>
    <phoneticPr fontId="4" type="noConversion"/>
  </si>
  <si>
    <r>
      <rPr>
        <sz val="12"/>
        <rFont val="微軟正黑體"/>
        <family val="2"/>
        <charset val="136"/>
      </rPr>
      <t>【由於</t>
    </r>
    <r>
      <rPr>
        <sz val="12"/>
        <rFont val="Century Gothic"/>
        <family val="2"/>
      </rPr>
      <t>2025</t>
    </r>
    <r>
      <rPr>
        <sz val="12"/>
        <rFont val="Microsoft JhengHei"/>
        <family val="2"/>
      </rPr>
      <t>年</t>
    </r>
    <r>
      <rPr>
        <sz val="12"/>
        <rFont val="微軟正黑體"/>
        <family val="2"/>
        <charset val="136"/>
      </rPr>
      <t>已完成裝</t>
    </r>
    <r>
      <rPr>
        <sz val="12"/>
        <rFont val="Microsoft JhengHei"/>
        <family val="2"/>
      </rPr>
      <t>修工程</t>
    </r>
    <r>
      <rPr>
        <sz val="12"/>
        <rFont val="微軟正黑體"/>
        <family val="2"/>
        <charset val="136"/>
      </rPr>
      <t>，建議</t>
    </r>
    <r>
      <rPr>
        <sz val="12"/>
        <rFont val="Microsoft JhengHei"/>
        <family val="2"/>
      </rPr>
      <t>回歸原始</t>
    </r>
    <r>
      <rPr>
        <sz val="12"/>
        <rFont val="Microsoft JhengHei"/>
        <family val="2"/>
        <charset val="136"/>
      </rPr>
      <t>預算</t>
    </r>
    <r>
      <rPr>
        <sz val="12"/>
        <rFont val="微軟正黑體"/>
        <family val="2"/>
        <charset val="136"/>
      </rPr>
      <t>】</t>
    </r>
    <phoneticPr fontId="4" type="noConversion"/>
  </si>
  <si>
    <t xml:space="preserve">  </t>
    <phoneticPr fontId="4" type="noConversion"/>
  </si>
  <si>
    <t>營
業
費
用</t>
    <phoneticPr fontId="4" type="noConversion"/>
  </si>
  <si>
    <r>
      <rPr>
        <sz val="12"/>
        <color indexed="9"/>
        <rFont val="微軟正黑體"/>
        <family val="2"/>
        <charset val="136"/>
      </rPr>
      <t>自動化設備費用－自動化設備系統</t>
    </r>
    <r>
      <rPr>
        <sz val="12"/>
        <color indexed="9"/>
        <rFont val="Century Gothic"/>
        <family val="2"/>
      </rPr>
      <t>/</t>
    </r>
    <r>
      <rPr>
        <sz val="12"/>
        <color indexed="9"/>
        <rFont val="微軟正黑體"/>
        <family val="2"/>
        <charset val="136"/>
      </rPr>
      <t>軟體使用費</t>
    </r>
    <phoneticPr fontId="4" type="noConversion"/>
  </si>
  <si>
    <r>
      <rPr>
        <sz val="12"/>
        <color indexed="9"/>
        <rFont val="微軟正黑體"/>
        <family val="2"/>
        <charset val="136"/>
      </rPr>
      <t>預算</t>
    </r>
    <r>
      <rPr>
        <sz val="12"/>
        <color indexed="9"/>
        <rFont val="Century Gothic"/>
        <family val="2"/>
      </rPr>
      <t xml:space="preserve"> (</t>
    </r>
    <r>
      <rPr>
        <sz val="12"/>
        <color indexed="9"/>
        <rFont val="微軟正黑體"/>
        <family val="2"/>
        <charset val="136"/>
      </rPr>
      <t>仟元</t>
    </r>
    <r>
      <rPr>
        <sz val="12"/>
        <color indexed="9"/>
        <rFont val="Century Gothic"/>
        <family val="2"/>
      </rPr>
      <t>)</t>
    </r>
    <phoneticPr fontId="4" type="noConversion"/>
  </si>
  <si>
    <r>
      <rPr>
        <sz val="12"/>
        <color indexed="9"/>
        <rFont val="微軟正黑體"/>
        <family val="2"/>
        <charset val="136"/>
      </rPr>
      <t>組別</t>
    </r>
    <r>
      <rPr>
        <sz val="12"/>
        <color indexed="9"/>
        <rFont val="Century Gothic"/>
        <family val="2"/>
      </rPr>
      <t>/</t>
    </r>
    <r>
      <rPr>
        <sz val="12"/>
        <color indexed="9"/>
        <rFont val="微軟正黑體"/>
        <family val="2"/>
        <charset val="136"/>
      </rPr>
      <t>成員</t>
    </r>
    <phoneticPr fontId="4" type="noConversion"/>
  </si>
  <si>
    <r>
      <rPr>
        <sz val="12"/>
        <color rgb="FFFFFFFF"/>
        <rFont val="微軟正黑體"/>
        <family val="2"/>
        <charset val="136"/>
      </rPr>
      <t>最低可接受預算</t>
    </r>
    <r>
      <rPr>
        <sz val="12"/>
        <color rgb="FFFFFFFF"/>
        <rFont val="Century Gothic"/>
        <family val="2"/>
      </rPr>
      <t xml:space="preserve"> (</t>
    </r>
    <r>
      <rPr>
        <sz val="12"/>
        <color rgb="FFFFFFFF"/>
        <rFont val="微軟正黑體"/>
        <family val="2"/>
        <charset val="136"/>
      </rPr>
      <t>仟元</t>
    </r>
    <r>
      <rPr>
        <sz val="12"/>
        <color rgb="FFFFFFFF"/>
        <rFont val="Century Gothic"/>
        <family val="2"/>
      </rPr>
      <t>)</t>
    </r>
    <phoneticPr fontId="3" type="noConversion"/>
  </si>
  <si>
    <t>Q1</t>
    <phoneticPr fontId="4" type="noConversion"/>
  </si>
  <si>
    <t>Q2</t>
    <phoneticPr fontId="4" type="noConversion"/>
  </si>
  <si>
    <t>Q3</t>
    <phoneticPr fontId="4" type="noConversion"/>
  </si>
  <si>
    <t>Q4</t>
    <phoneticPr fontId="4" type="noConversion"/>
  </si>
  <si>
    <r>
      <rPr>
        <sz val="12"/>
        <color indexed="9"/>
        <rFont val="微軟正黑體"/>
        <family val="2"/>
        <charset val="136"/>
      </rPr>
      <t>備註</t>
    </r>
    <r>
      <rPr>
        <sz val="12"/>
        <color indexed="9"/>
        <rFont val="Century Gothic"/>
        <family val="2"/>
      </rPr>
      <t xml:space="preserve"> (</t>
    </r>
    <r>
      <rPr>
        <sz val="12"/>
        <color indexed="9"/>
        <rFont val="微軟正黑體"/>
        <family val="2"/>
        <charset val="136"/>
      </rPr>
      <t>編列邏輯說明</t>
    </r>
    <r>
      <rPr>
        <sz val="12"/>
        <color indexed="9"/>
        <rFont val="Century Gothic"/>
        <family val="2"/>
      </rPr>
      <t>)</t>
    </r>
    <phoneticPr fontId="4" type="noConversion"/>
  </si>
  <si>
    <r>
      <rPr>
        <sz val="12"/>
        <rFont val="微軟正黑體"/>
        <family val="2"/>
        <charset val="136"/>
      </rPr>
      <t>《軟體訂閱》</t>
    </r>
    <r>
      <rPr>
        <sz val="12"/>
        <rFont val="Century Gothic"/>
        <family val="2"/>
      </rPr>
      <t xml:space="preserve">Notion </t>
    </r>
    <r>
      <rPr>
        <sz val="12"/>
        <rFont val="微軟正黑體"/>
        <family val="2"/>
        <charset val="136"/>
      </rPr>
      <t>專案開發共筆軟體</t>
    </r>
    <r>
      <rPr>
        <sz val="12"/>
        <rFont val="Century Gothic"/>
        <family val="2"/>
      </rPr>
      <t xml:space="preserve"> (</t>
    </r>
    <r>
      <rPr>
        <sz val="12"/>
        <rFont val="微軟正黑體"/>
        <family val="2"/>
        <charset val="136"/>
      </rPr>
      <t>每單位</t>
    </r>
    <r>
      <rPr>
        <sz val="12"/>
        <rFont val="Century Gothic"/>
        <family val="2"/>
      </rPr>
      <t>8</t>
    </r>
    <r>
      <rPr>
        <sz val="12"/>
        <rFont val="微軟正黑體"/>
        <family val="2"/>
        <charset val="136"/>
      </rPr>
      <t>仟元</t>
    </r>
    <r>
      <rPr>
        <sz val="12"/>
        <rFont val="Century Gothic"/>
        <family val="2"/>
      </rPr>
      <t>/</t>
    </r>
    <r>
      <rPr>
        <sz val="12"/>
        <rFont val="微軟正黑體"/>
        <family val="2"/>
        <charset val="136"/>
      </rPr>
      <t>年，共</t>
    </r>
    <r>
      <rPr>
        <sz val="12"/>
        <rFont val="Century Gothic"/>
        <family val="2"/>
      </rPr>
      <t>3</t>
    </r>
    <r>
      <rPr>
        <sz val="12"/>
        <rFont val="微軟正黑體"/>
        <family val="2"/>
        <charset val="136"/>
      </rPr>
      <t>單位</t>
    </r>
    <r>
      <rPr>
        <sz val="12"/>
        <rFont val="Century Gothic"/>
        <family val="2"/>
      </rPr>
      <t>)</t>
    </r>
    <phoneticPr fontId="3" type="noConversion"/>
  </si>
  <si>
    <r>
      <t>AI</t>
    </r>
    <r>
      <rPr>
        <sz val="12"/>
        <rFont val="微軟正黑體"/>
        <family val="2"/>
        <charset val="136"/>
      </rPr>
      <t>組</t>
    </r>
    <r>
      <rPr>
        <sz val="12"/>
        <rFont val="Century Gothic"/>
        <family val="2"/>
      </rPr>
      <t>/</t>
    </r>
    <r>
      <rPr>
        <sz val="12"/>
        <rFont val="微軟正黑體"/>
        <family val="2"/>
        <charset val="136"/>
      </rPr>
      <t>易瑩</t>
    </r>
    <phoneticPr fontId="3" type="noConversion"/>
  </si>
  <si>
    <r>
      <rPr>
        <sz val="12"/>
        <rFont val="微軟正黑體"/>
        <family val="2"/>
        <charset val="136"/>
      </rPr>
      <t>《軟體訂閱》</t>
    </r>
    <r>
      <rPr>
        <sz val="12"/>
        <rFont val="Century Gothic"/>
        <family val="2"/>
      </rPr>
      <t>Chat GPT Pro (</t>
    </r>
    <r>
      <rPr>
        <sz val="12"/>
        <rFont val="微軟正黑體"/>
        <family val="2"/>
        <charset val="136"/>
      </rPr>
      <t>每單位</t>
    </r>
    <r>
      <rPr>
        <sz val="12"/>
        <rFont val="Century Gothic"/>
        <family val="2"/>
      </rPr>
      <t>72</t>
    </r>
    <r>
      <rPr>
        <sz val="12"/>
        <rFont val="微軟正黑體"/>
        <family val="2"/>
        <charset val="136"/>
      </rPr>
      <t>仟元</t>
    </r>
    <r>
      <rPr>
        <sz val="12"/>
        <rFont val="Century Gothic"/>
        <family val="2"/>
      </rPr>
      <t>/</t>
    </r>
    <r>
      <rPr>
        <sz val="12"/>
        <rFont val="微軟正黑體"/>
        <family val="2"/>
        <charset val="136"/>
      </rPr>
      <t>年，共</t>
    </r>
    <r>
      <rPr>
        <sz val="12"/>
        <rFont val="Century Gothic"/>
        <family val="2"/>
      </rPr>
      <t>1</t>
    </r>
    <r>
      <rPr>
        <sz val="12"/>
        <rFont val="微軟正黑體"/>
        <family val="2"/>
        <charset val="136"/>
      </rPr>
      <t>單位</t>
    </r>
    <r>
      <rPr>
        <sz val="12"/>
        <rFont val="Century Gothic"/>
        <family val="2"/>
      </rPr>
      <t>)</t>
    </r>
    <phoneticPr fontId="3" type="noConversion"/>
  </si>
  <si>
    <r>
      <rPr>
        <sz val="12"/>
        <rFont val="微軟正黑體"/>
        <family val="2"/>
        <charset val="136"/>
      </rPr>
      <t>《軟體訂閱》</t>
    </r>
    <r>
      <rPr>
        <sz val="12"/>
        <rFont val="Century Gothic"/>
        <family val="2"/>
      </rPr>
      <t>Perplexity (</t>
    </r>
    <r>
      <rPr>
        <sz val="12"/>
        <rFont val="微軟正黑體"/>
        <family val="2"/>
        <charset val="136"/>
      </rPr>
      <t>每單位</t>
    </r>
    <r>
      <rPr>
        <sz val="12"/>
        <rFont val="Century Gothic"/>
        <family val="2"/>
      </rPr>
      <t>7.2</t>
    </r>
    <r>
      <rPr>
        <sz val="12"/>
        <rFont val="微軟正黑體"/>
        <family val="2"/>
        <charset val="136"/>
      </rPr>
      <t>仟元</t>
    </r>
    <r>
      <rPr>
        <sz val="12"/>
        <rFont val="Century Gothic"/>
        <family val="2"/>
      </rPr>
      <t>/</t>
    </r>
    <r>
      <rPr>
        <sz val="12"/>
        <rFont val="微軟正黑體"/>
        <family val="2"/>
        <charset val="136"/>
      </rPr>
      <t>年，共</t>
    </r>
    <r>
      <rPr>
        <sz val="12"/>
        <rFont val="Century Gothic"/>
        <family val="2"/>
      </rPr>
      <t>1</t>
    </r>
    <r>
      <rPr>
        <sz val="12"/>
        <rFont val="微軟正黑體"/>
        <family val="2"/>
        <charset val="136"/>
      </rPr>
      <t>單位</t>
    </r>
    <r>
      <rPr>
        <sz val="12"/>
        <rFont val="Century Gothic"/>
        <family val="2"/>
      </rPr>
      <t xml:space="preserve">) </t>
    </r>
    <r>
      <rPr>
        <sz val="12"/>
        <color rgb="FFFF0000"/>
        <rFont val="Century Gothic"/>
        <family val="2"/>
      </rPr>
      <t>NEW</t>
    </r>
    <phoneticPr fontId="3" type="noConversion"/>
  </si>
  <si>
    <r>
      <rPr>
        <sz val="12"/>
        <rFont val="微軟正黑體"/>
        <family val="2"/>
        <charset val="136"/>
      </rPr>
      <t>《軟體訂閱》</t>
    </r>
    <r>
      <rPr>
        <sz val="12"/>
        <rFont val="Century Gothic"/>
        <family val="2"/>
      </rPr>
      <t>Claude Pro (</t>
    </r>
    <r>
      <rPr>
        <sz val="12"/>
        <rFont val="微軟正黑體"/>
        <family val="2"/>
        <charset val="136"/>
      </rPr>
      <t>每單位</t>
    </r>
    <r>
      <rPr>
        <sz val="12"/>
        <rFont val="Century Gothic"/>
        <family val="2"/>
      </rPr>
      <t>7.2</t>
    </r>
    <r>
      <rPr>
        <sz val="12"/>
        <rFont val="微軟正黑體"/>
        <family val="2"/>
        <charset val="136"/>
      </rPr>
      <t>仟元</t>
    </r>
    <r>
      <rPr>
        <sz val="12"/>
        <rFont val="Century Gothic"/>
        <family val="2"/>
      </rPr>
      <t>/</t>
    </r>
    <r>
      <rPr>
        <sz val="12"/>
        <rFont val="微軟正黑體"/>
        <family val="2"/>
        <charset val="136"/>
      </rPr>
      <t>年，共</t>
    </r>
    <r>
      <rPr>
        <sz val="12"/>
        <rFont val="Century Gothic"/>
        <family val="2"/>
      </rPr>
      <t>1</t>
    </r>
    <r>
      <rPr>
        <sz val="12"/>
        <rFont val="微軟正黑體"/>
        <family val="2"/>
        <charset val="136"/>
      </rPr>
      <t>單位</t>
    </r>
    <r>
      <rPr>
        <sz val="12"/>
        <rFont val="Century Gothic"/>
        <family val="2"/>
      </rPr>
      <t>)</t>
    </r>
    <phoneticPr fontId="3" type="noConversion"/>
  </si>
  <si>
    <r>
      <rPr>
        <sz val="12"/>
        <rFont val="微軟正黑體"/>
        <family val="2"/>
        <charset val="136"/>
      </rPr>
      <t>《軟體訂閱》</t>
    </r>
    <r>
      <rPr>
        <sz val="12"/>
        <rFont val="Century Gothic"/>
        <family val="2"/>
      </rPr>
      <t xml:space="preserve">AI </t>
    </r>
    <r>
      <rPr>
        <sz val="12"/>
        <rFont val="微軟正黑體"/>
        <family val="2"/>
        <charset val="136"/>
      </rPr>
      <t>工具儲值額度</t>
    </r>
    <r>
      <rPr>
        <sz val="12"/>
        <rFont val="Century Gothic"/>
        <family val="2"/>
      </rPr>
      <t xml:space="preserve"> (</t>
    </r>
    <r>
      <rPr>
        <sz val="12"/>
        <rFont val="微軟正黑體"/>
        <family val="2"/>
        <charset val="136"/>
      </rPr>
      <t>每單位</t>
    </r>
    <r>
      <rPr>
        <sz val="12"/>
        <rFont val="Century Gothic"/>
        <family val="2"/>
      </rPr>
      <t>50</t>
    </r>
    <r>
      <rPr>
        <sz val="12"/>
        <rFont val="微軟正黑體"/>
        <family val="2"/>
        <charset val="136"/>
      </rPr>
      <t>仟元</t>
    </r>
    <r>
      <rPr>
        <sz val="12"/>
        <rFont val="Century Gothic"/>
        <family val="2"/>
      </rPr>
      <t>/</t>
    </r>
    <r>
      <rPr>
        <sz val="12"/>
        <rFont val="微軟正黑體"/>
        <family val="2"/>
        <charset val="136"/>
      </rPr>
      <t>年，共</t>
    </r>
    <r>
      <rPr>
        <sz val="12"/>
        <rFont val="Century Gothic"/>
        <family val="2"/>
      </rPr>
      <t>2</t>
    </r>
    <r>
      <rPr>
        <sz val="12"/>
        <rFont val="微軟正黑體"/>
        <family val="2"/>
        <charset val="136"/>
      </rPr>
      <t>單位</t>
    </r>
    <r>
      <rPr>
        <sz val="12"/>
        <rFont val="Century Gothic"/>
        <family val="2"/>
      </rPr>
      <t xml:space="preserve">) </t>
    </r>
    <r>
      <rPr>
        <sz val="12"/>
        <color rgb="FFFF0000"/>
        <rFont val="Century Gothic"/>
        <family val="2"/>
      </rPr>
      <t>NEW</t>
    </r>
    <phoneticPr fontId="3" type="noConversion"/>
  </si>
  <si>
    <r>
      <rPr>
        <sz val="12"/>
        <rFont val="微軟正黑體"/>
        <family val="2"/>
        <charset val="136"/>
      </rPr>
      <t>包含科發組雋凱增加</t>
    </r>
    <r>
      <rPr>
        <sz val="12"/>
        <rFont val="Century Gothic"/>
        <family val="2"/>
      </rPr>
      <t>1</t>
    </r>
    <r>
      <rPr>
        <sz val="12"/>
        <rFont val="微軟正黑體"/>
        <family val="2"/>
        <charset val="136"/>
      </rPr>
      <t>單位</t>
    </r>
    <phoneticPr fontId="3" type="noConversion"/>
  </si>
  <si>
    <r>
      <rPr>
        <sz val="12"/>
        <rFont val="微軟正黑體"/>
        <family val="2"/>
        <charset val="136"/>
      </rPr>
      <t>《軟體訂閱》</t>
    </r>
    <r>
      <rPr>
        <sz val="12"/>
        <rFont val="Century Gothic"/>
        <family val="2"/>
      </rPr>
      <t>Figma (</t>
    </r>
    <r>
      <rPr>
        <sz val="12"/>
        <rFont val="微軟正黑體"/>
        <family val="2"/>
        <charset val="136"/>
      </rPr>
      <t>每單位</t>
    </r>
    <r>
      <rPr>
        <sz val="12"/>
        <rFont val="Century Gothic"/>
        <family val="2"/>
      </rPr>
      <t>8</t>
    </r>
    <r>
      <rPr>
        <sz val="12"/>
        <rFont val="微軟正黑體"/>
        <family val="2"/>
        <charset val="136"/>
      </rPr>
      <t>仟元</t>
    </r>
    <r>
      <rPr>
        <sz val="12"/>
        <rFont val="Century Gothic"/>
        <family val="2"/>
      </rPr>
      <t>/</t>
    </r>
    <r>
      <rPr>
        <sz val="12"/>
        <rFont val="微軟正黑體"/>
        <family val="2"/>
        <charset val="136"/>
      </rPr>
      <t>年，共</t>
    </r>
    <r>
      <rPr>
        <sz val="12"/>
        <rFont val="Century Gothic"/>
        <family val="2"/>
      </rPr>
      <t>2</t>
    </r>
    <r>
      <rPr>
        <sz val="12"/>
        <rFont val="微軟正黑體"/>
        <family val="2"/>
        <charset val="136"/>
      </rPr>
      <t>單位</t>
    </r>
    <r>
      <rPr>
        <sz val="12"/>
        <rFont val="Century Gothic"/>
        <family val="2"/>
      </rPr>
      <t xml:space="preserve">) </t>
    </r>
    <r>
      <rPr>
        <sz val="12"/>
        <color rgb="FFFF0000"/>
        <rFont val="Century Gothic"/>
        <family val="2"/>
      </rPr>
      <t>NEW</t>
    </r>
    <phoneticPr fontId="3" type="noConversion"/>
  </si>
  <si>
    <r>
      <rPr>
        <sz val="12"/>
        <rFont val="微軟正黑體"/>
        <family val="2"/>
        <charset val="136"/>
      </rPr>
      <t>《軟體訂閱》</t>
    </r>
    <r>
      <rPr>
        <sz val="12"/>
        <rFont val="Century Gothic"/>
        <family val="2"/>
      </rPr>
      <t>Github Copilot (</t>
    </r>
    <r>
      <rPr>
        <sz val="12"/>
        <rFont val="微軟正黑體"/>
        <family val="2"/>
        <charset val="136"/>
      </rPr>
      <t>每單位</t>
    </r>
    <r>
      <rPr>
        <sz val="12"/>
        <rFont val="Century Gothic"/>
        <family val="2"/>
      </rPr>
      <t>18</t>
    </r>
    <r>
      <rPr>
        <sz val="12"/>
        <rFont val="微軟正黑體"/>
        <family val="2"/>
        <charset val="136"/>
      </rPr>
      <t>仟元</t>
    </r>
    <r>
      <rPr>
        <sz val="12"/>
        <rFont val="Century Gothic"/>
        <family val="2"/>
      </rPr>
      <t>/</t>
    </r>
    <r>
      <rPr>
        <sz val="12"/>
        <rFont val="微軟正黑體"/>
        <family val="2"/>
        <charset val="136"/>
      </rPr>
      <t>年，共</t>
    </r>
    <r>
      <rPr>
        <sz val="12"/>
        <rFont val="Century Gothic"/>
        <family val="2"/>
      </rPr>
      <t>40</t>
    </r>
    <r>
      <rPr>
        <sz val="12"/>
        <rFont val="微軟正黑體"/>
        <family val="2"/>
        <charset val="136"/>
      </rPr>
      <t>單位</t>
    </r>
    <r>
      <rPr>
        <sz val="12"/>
        <rFont val="Century Gothic"/>
        <family val="2"/>
      </rPr>
      <t xml:space="preserve">) </t>
    </r>
    <r>
      <rPr>
        <sz val="12"/>
        <color rgb="FFFF0000"/>
        <rFont val="Century Gothic"/>
        <family val="2"/>
      </rPr>
      <t>NEW</t>
    </r>
    <phoneticPr fontId="3" type="noConversion"/>
  </si>
  <si>
    <r>
      <t xml:space="preserve">IT </t>
    </r>
    <r>
      <rPr>
        <sz val="12"/>
        <rFont val="微軟正黑體"/>
        <family val="2"/>
        <charset val="136"/>
      </rPr>
      <t>仍在內部討論讓各單位支付的可行性，因此建議可先編列</t>
    </r>
    <phoneticPr fontId="3" type="noConversion"/>
  </si>
  <si>
    <r>
      <rPr>
        <sz val="12"/>
        <rFont val="微軟正黑體"/>
        <family val="2"/>
        <charset val="136"/>
      </rPr>
      <t>《軟體訂閱》</t>
    </r>
    <r>
      <rPr>
        <sz val="12"/>
        <rFont val="Century Gothic"/>
        <family val="2"/>
      </rPr>
      <t xml:space="preserve">Tableau </t>
    </r>
    <r>
      <rPr>
        <sz val="12"/>
        <rFont val="微軟正黑體"/>
        <family val="2"/>
        <charset val="136"/>
      </rPr>
      <t>授權</t>
    </r>
    <r>
      <rPr>
        <sz val="12"/>
        <rFont val="Century Gothic"/>
        <family val="2"/>
      </rPr>
      <t xml:space="preserve"> (Creator 4</t>
    </r>
    <r>
      <rPr>
        <sz val="12"/>
        <rFont val="微軟正黑體"/>
        <family val="2"/>
        <charset val="136"/>
      </rPr>
      <t>套</t>
    </r>
    <r>
      <rPr>
        <sz val="12"/>
        <rFont val="Century Gothic"/>
        <family val="2"/>
      </rPr>
      <t xml:space="preserve"> + Explorer 2</t>
    </r>
    <r>
      <rPr>
        <sz val="12"/>
        <rFont val="微軟正黑體"/>
        <family val="2"/>
        <charset val="136"/>
      </rPr>
      <t>套</t>
    </r>
    <r>
      <rPr>
        <sz val="12"/>
        <rFont val="Century Gothic"/>
        <family val="2"/>
      </rPr>
      <t xml:space="preserve"> + Viewer 42</t>
    </r>
    <r>
      <rPr>
        <sz val="12"/>
        <rFont val="微軟正黑體"/>
        <family val="2"/>
        <charset val="136"/>
      </rPr>
      <t>套</t>
    </r>
    <r>
      <rPr>
        <sz val="12"/>
        <rFont val="Century Gothic"/>
        <family val="2"/>
      </rPr>
      <t xml:space="preserve"> + DM) </t>
    </r>
    <phoneticPr fontId="3" type="noConversion"/>
  </si>
  <si>
    <r>
      <rPr>
        <sz val="12"/>
        <rFont val="微軟正黑體"/>
        <family val="2"/>
        <charset val="136"/>
      </rPr>
      <t>數據組</t>
    </r>
    <r>
      <rPr>
        <sz val="12"/>
        <rFont val="Century Gothic"/>
        <family val="2"/>
      </rPr>
      <t>/Justin</t>
    </r>
    <phoneticPr fontId="3" type="noConversion"/>
  </si>
  <si>
    <r>
      <t>(Min 534</t>
    </r>
    <r>
      <rPr>
        <sz val="12"/>
        <rFont val="微軟正黑體"/>
        <family val="2"/>
        <charset val="136"/>
      </rPr>
      <t>仟元</t>
    </r>
    <r>
      <rPr>
        <sz val="12"/>
        <rFont val="Century Gothic"/>
        <family val="2"/>
      </rPr>
      <t>)</t>
    </r>
    <r>
      <rPr>
        <sz val="12"/>
        <rFont val="微軟正黑體"/>
        <family val="2"/>
        <charset val="136"/>
      </rPr>
      <t>年度憑證</t>
    </r>
    <phoneticPr fontId="3" type="noConversion"/>
  </si>
  <si>
    <r>
      <rPr>
        <sz val="12"/>
        <rFont val="微軟正黑體"/>
        <family val="2"/>
        <charset val="136"/>
      </rPr>
      <t>依實際</t>
    </r>
    <r>
      <rPr>
        <sz val="12"/>
        <rFont val="Century Gothic"/>
        <family val="2"/>
      </rPr>
      <t>(10</t>
    </r>
    <r>
      <rPr>
        <sz val="12"/>
        <rFont val="微軟正黑體"/>
        <family val="2"/>
        <charset val="136"/>
      </rPr>
      <t>月</t>
    </r>
    <r>
      <rPr>
        <sz val="12"/>
        <rFont val="Century Gothic"/>
        <family val="2"/>
      </rPr>
      <t>)</t>
    </r>
    <r>
      <rPr>
        <sz val="12"/>
        <rFont val="微軟正黑體"/>
        <family val="2"/>
        <charset val="136"/>
      </rPr>
      <t>使用情形預估續約授權種類，預留</t>
    </r>
    <r>
      <rPr>
        <sz val="12"/>
        <rFont val="Century Gothic"/>
        <family val="2"/>
      </rPr>
      <t>2</t>
    </r>
    <r>
      <rPr>
        <sz val="12"/>
        <rFont val="微軟正黑體"/>
        <family val="2"/>
        <charset val="136"/>
      </rPr>
      <t>萬彈性</t>
    </r>
    <phoneticPr fontId="3" type="noConversion"/>
  </si>
  <si>
    <r>
      <rPr>
        <sz val="12"/>
        <rFont val="微軟正黑體"/>
        <family val="2"/>
        <charset val="136"/>
      </rPr>
      <t>《軟體訂閱》</t>
    </r>
    <r>
      <rPr>
        <sz val="12"/>
        <rFont val="Century Gothic"/>
        <family val="2"/>
      </rPr>
      <t>Firecrawl (</t>
    </r>
    <r>
      <rPr>
        <sz val="12"/>
        <rFont val="微軟正黑體"/>
        <family val="2"/>
        <charset val="136"/>
      </rPr>
      <t>每單位</t>
    </r>
    <r>
      <rPr>
        <sz val="12"/>
        <rFont val="Century Gothic"/>
        <family val="2"/>
      </rPr>
      <t>32</t>
    </r>
    <r>
      <rPr>
        <sz val="12"/>
        <rFont val="微軟正黑體"/>
        <family val="2"/>
        <charset val="136"/>
      </rPr>
      <t>仟元</t>
    </r>
    <r>
      <rPr>
        <sz val="12"/>
        <rFont val="Century Gothic"/>
        <family val="2"/>
      </rPr>
      <t>/</t>
    </r>
    <r>
      <rPr>
        <sz val="12"/>
        <rFont val="微軟正黑體"/>
        <family val="2"/>
        <charset val="136"/>
      </rPr>
      <t>年，共</t>
    </r>
    <r>
      <rPr>
        <sz val="12"/>
        <rFont val="Century Gothic"/>
        <family val="2"/>
      </rPr>
      <t>1</t>
    </r>
    <r>
      <rPr>
        <sz val="12"/>
        <rFont val="微軟正黑體"/>
        <family val="2"/>
        <charset val="136"/>
      </rPr>
      <t>單位</t>
    </r>
    <r>
      <rPr>
        <sz val="12"/>
        <rFont val="Century Gothic"/>
        <family val="2"/>
      </rPr>
      <t xml:space="preserve">) </t>
    </r>
    <r>
      <rPr>
        <sz val="12"/>
        <color rgb="FFFF0000"/>
        <rFont val="Century Gothic"/>
        <family val="2"/>
      </rPr>
      <t>NEW</t>
    </r>
  </si>
  <si>
    <r>
      <rPr>
        <sz val="12"/>
        <rFont val="微軟正黑體"/>
        <family val="2"/>
        <charset val="136"/>
      </rPr>
      <t>科發組</t>
    </r>
    <r>
      <rPr>
        <sz val="12"/>
        <rFont val="Century Gothic"/>
        <family val="2"/>
      </rPr>
      <t>/</t>
    </r>
    <r>
      <rPr>
        <sz val="12"/>
        <rFont val="微軟正黑體"/>
        <family val="2"/>
        <charset val="136"/>
      </rPr>
      <t>雋凱</t>
    </r>
    <phoneticPr fontId="3" type="noConversion"/>
  </si>
  <si>
    <r>
      <rPr>
        <sz val="12"/>
        <rFont val="微軟正黑體"/>
        <family val="2"/>
        <charset val="136"/>
      </rPr>
      <t>《軟體訂閱》</t>
    </r>
    <r>
      <rPr>
        <sz val="12"/>
        <rFont val="Century Gothic"/>
        <family val="2"/>
      </rPr>
      <t>RSS.app (</t>
    </r>
    <r>
      <rPr>
        <sz val="12"/>
        <rFont val="微軟正黑體"/>
        <family val="2"/>
        <charset val="136"/>
      </rPr>
      <t>每單位</t>
    </r>
    <r>
      <rPr>
        <sz val="12"/>
        <rFont val="Century Gothic"/>
        <family val="2"/>
      </rPr>
      <t>10</t>
    </r>
    <r>
      <rPr>
        <sz val="12"/>
        <rFont val="微軟正黑體"/>
        <family val="2"/>
        <charset val="136"/>
      </rPr>
      <t>仟元</t>
    </r>
    <r>
      <rPr>
        <sz val="12"/>
        <rFont val="Century Gothic"/>
        <family val="2"/>
      </rPr>
      <t>/</t>
    </r>
    <r>
      <rPr>
        <sz val="12"/>
        <rFont val="微軟正黑體"/>
        <family val="2"/>
        <charset val="136"/>
      </rPr>
      <t>年，共</t>
    </r>
    <r>
      <rPr>
        <sz val="12"/>
        <rFont val="Century Gothic"/>
        <family val="2"/>
      </rPr>
      <t>1</t>
    </r>
    <r>
      <rPr>
        <sz val="12"/>
        <rFont val="微軟正黑體"/>
        <family val="2"/>
        <charset val="136"/>
      </rPr>
      <t>單位</t>
    </r>
    <r>
      <rPr>
        <sz val="12"/>
        <rFont val="Century Gothic"/>
        <family val="2"/>
      </rPr>
      <t xml:space="preserve">)  </t>
    </r>
    <r>
      <rPr>
        <sz val="12"/>
        <color rgb="FFFF0000"/>
        <rFont val="Century Gothic"/>
        <family val="2"/>
      </rPr>
      <t>NEW</t>
    </r>
    <phoneticPr fontId="3" type="noConversion"/>
  </si>
  <si>
    <r>
      <rPr>
        <sz val="12"/>
        <rFont val="微軟正黑體"/>
        <family val="2"/>
        <charset val="136"/>
      </rPr>
      <t>《維護服務》金控統籌資料共享專案</t>
    </r>
    <r>
      <rPr>
        <sz val="12"/>
        <rFont val="Century Gothic"/>
        <family val="2"/>
      </rPr>
      <t>_</t>
    </r>
    <r>
      <rPr>
        <sz val="12"/>
        <rFont val="微軟正黑體"/>
        <family val="2"/>
        <charset val="136"/>
      </rPr>
      <t>自然人線上案</t>
    </r>
    <r>
      <rPr>
        <sz val="12"/>
        <rFont val="Century Gothic"/>
        <family val="2"/>
      </rPr>
      <t>_</t>
    </r>
    <r>
      <rPr>
        <sz val="12"/>
        <rFont val="微軟正黑體"/>
        <family val="2"/>
        <charset val="136"/>
      </rPr>
      <t>金控分攤</t>
    </r>
    <r>
      <rPr>
        <sz val="12"/>
        <rFont val="Century Gothic"/>
        <family val="2"/>
      </rPr>
      <t xml:space="preserve"> </t>
    </r>
    <phoneticPr fontId="3" type="noConversion"/>
  </si>
  <si>
    <r>
      <rPr>
        <sz val="12"/>
        <rFont val="微軟正黑體"/>
        <family val="2"/>
        <charset val="136"/>
      </rPr>
      <t>策略組</t>
    </r>
    <r>
      <rPr>
        <sz val="12"/>
        <rFont val="Century Gothic"/>
        <family val="2"/>
      </rPr>
      <t>/</t>
    </r>
    <r>
      <rPr>
        <sz val="12"/>
        <rFont val="微軟正黑體"/>
        <family val="2"/>
        <charset val="136"/>
      </rPr>
      <t>琪鈺</t>
    </r>
    <phoneticPr fontId="3" type="noConversion"/>
  </si>
  <si>
    <r>
      <rPr>
        <sz val="12"/>
        <rFont val="微軟正黑體"/>
        <family val="2"/>
        <charset val="136"/>
      </rPr>
      <t>簽呈</t>
    </r>
    <r>
      <rPr>
        <sz val="12"/>
        <rFont val="Century Gothic"/>
        <family val="2"/>
      </rPr>
      <t xml:space="preserve">(202505.01054) </t>
    </r>
    <r>
      <rPr>
        <sz val="12"/>
        <rFont val="微軟正黑體"/>
        <family val="2"/>
        <charset val="136"/>
      </rPr>
      <t>金控</t>
    </r>
    <r>
      <rPr>
        <sz val="12"/>
        <rFont val="Century Gothic"/>
        <family val="2"/>
      </rPr>
      <t>2026</t>
    </r>
    <r>
      <rPr>
        <sz val="12"/>
        <rFont val="微軟正黑體"/>
        <family val="2"/>
        <charset val="136"/>
      </rPr>
      <t>年及</t>
    </r>
    <r>
      <rPr>
        <sz val="12"/>
        <rFont val="Century Gothic"/>
        <family val="2"/>
      </rPr>
      <t>2027</t>
    </r>
    <r>
      <rPr>
        <sz val="12"/>
        <rFont val="微軟正黑體"/>
        <family val="2"/>
        <charset val="136"/>
      </rPr>
      <t>年各支付</t>
    </r>
    <r>
      <rPr>
        <sz val="12"/>
        <rFont val="Century Gothic"/>
        <family val="2"/>
      </rPr>
      <t>$11</t>
    </r>
    <phoneticPr fontId="3" type="noConversion"/>
  </si>
  <si>
    <r>
      <rPr>
        <sz val="12"/>
        <rFont val="微軟正黑體"/>
        <family val="2"/>
        <charset val="136"/>
      </rPr>
      <t>《維護服務》</t>
    </r>
    <r>
      <rPr>
        <sz val="12"/>
        <rFont val="Century Gothic"/>
        <family val="2"/>
      </rPr>
      <t xml:space="preserve">Tableau </t>
    </r>
    <r>
      <rPr>
        <sz val="12"/>
        <rFont val="微軟正黑體"/>
        <family val="2"/>
        <charset val="136"/>
      </rPr>
      <t>視覺化平台</t>
    </r>
    <phoneticPr fontId="3" type="noConversion"/>
  </si>
  <si>
    <r>
      <t>(Min 101</t>
    </r>
    <r>
      <rPr>
        <sz val="12"/>
        <rFont val="微軟正黑體"/>
        <family val="2"/>
        <charset val="136"/>
      </rPr>
      <t>仟元</t>
    </r>
    <r>
      <rPr>
        <sz val="12"/>
        <rFont val="Century Gothic"/>
        <family val="2"/>
      </rPr>
      <t>)</t>
    </r>
    <r>
      <rPr>
        <sz val="12"/>
        <rFont val="微軟正黑體"/>
        <family val="2"/>
        <charset val="136"/>
      </rPr>
      <t>平台固定維護</t>
    </r>
    <phoneticPr fontId="3" type="noConversion"/>
  </si>
  <si>
    <r>
      <rPr>
        <sz val="12"/>
        <rFont val="微軟正黑體"/>
        <family val="2"/>
        <charset val="136"/>
      </rPr>
      <t>站台操作技術諮詢服務</t>
    </r>
    <r>
      <rPr>
        <sz val="12"/>
        <rFont val="Century Gothic"/>
        <family val="2"/>
      </rPr>
      <t>8</t>
    </r>
    <r>
      <rPr>
        <sz val="12"/>
        <rFont val="微軟正黑體"/>
        <family val="2"/>
        <charset val="136"/>
      </rPr>
      <t>人天，費用較</t>
    </r>
    <r>
      <rPr>
        <sz val="12"/>
        <rFont val="Century Gothic"/>
        <family val="2"/>
      </rPr>
      <t>2025</t>
    </r>
    <r>
      <rPr>
        <sz val="12"/>
        <rFont val="微軟正黑體"/>
        <family val="2"/>
        <charset val="136"/>
      </rPr>
      <t>年減少</t>
    </r>
    <r>
      <rPr>
        <sz val="12"/>
        <rFont val="Century Gothic"/>
        <family val="2"/>
      </rPr>
      <t>$240</t>
    </r>
    <phoneticPr fontId="3" type="noConversion"/>
  </si>
  <si>
    <r>
      <rPr>
        <sz val="12"/>
        <rFont val="微軟正黑體"/>
        <family val="2"/>
        <charset val="136"/>
      </rPr>
      <t>《維護服務》爬蟲館</t>
    </r>
    <phoneticPr fontId="3" type="noConversion"/>
  </si>
  <si>
    <r>
      <t>(Min 283</t>
    </r>
    <r>
      <rPr>
        <sz val="12"/>
        <rFont val="微軟正黑體"/>
        <family val="2"/>
        <charset val="136"/>
      </rPr>
      <t>仟元</t>
    </r>
    <r>
      <rPr>
        <sz val="12"/>
        <rFont val="Century Gothic"/>
        <family val="2"/>
      </rPr>
      <t>)</t>
    </r>
    <r>
      <rPr>
        <sz val="12"/>
        <rFont val="微軟正黑體"/>
        <family val="2"/>
        <charset val="136"/>
      </rPr>
      <t>平台固定維護</t>
    </r>
    <phoneticPr fontId="3" type="noConversion"/>
  </si>
  <si>
    <r>
      <t>2026/2</t>
    </r>
    <r>
      <rPr>
        <sz val="12"/>
        <rFont val="微軟正黑體"/>
        <family val="2"/>
        <charset val="136"/>
      </rPr>
      <t>月優化案保固期滿，收取維護費</t>
    </r>
    <phoneticPr fontId="3" type="noConversion"/>
  </si>
  <si>
    <r>
      <rPr>
        <sz val="12"/>
        <rFont val="微軟正黑體"/>
        <family val="2"/>
        <charset val="136"/>
      </rPr>
      <t>《維護服務》金控資料資產管理平台</t>
    </r>
    <phoneticPr fontId="3" type="noConversion"/>
  </si>
  <si>
    <r>
      <t>(Min 504</t>
    </r>
    <r>
      <rPr>
        <sz val="12"/>
        <rFont val="微軟正黑體"/>
        <family val="2"/>
        <charset val="136"/>
      </rPr>
      <t>仟元</t>
    </r>
    <r>
      <rPr>
        <sz val="12"/>
        <rFont val="Century Gothic"/>
        <family val="2"/>
      </rPr>
      <t>)</t>
    </r>
    <r>
      <rPr>
        <sz val="12"/>
        <rFont val="微軟正黑體"/>
        <family val="2"/>
        <charset val="136"/>
      </rPr>
      <t>平台固定維護</t>
    </r>
    <phoneticPr fontId="3" type="noConversion"/>
  </si>
  <si>
    <r>
      <rPr>
        <sz val="12"/>
        <rFont val="微軟正黑體"/>
        <family val="2"/>
        <charset val="136"/>
      </rPr>
      <t>年度維護費</t>
    </r>
    <phoneticPr fontId="3" type="noConversion"/>
  </si>
  <si>
    <r>
      <rPr>
        <sz val="12"/>
        <rFont val="微軟正黑體"/>
        <family val="2"/>
        <charset val="136"/>
      </rPr>
      <t>《雲端服務租用》</t>
    </r>
    <r>
      <rPr>
        <sz val="12"/>
        <rFont val="Century Gothic"/>
        <family val="2"/>
      </rPr>
      <t>AWS/GCP/Azure_</t>
    </r>
    <r>
      <rPr>
        <sz val="12"/>
        <rFont val="微軟正黑體"/>
        <family val="2"/>
        <charset val="136"/>
      </rPr>
      <t>一般使用</t>
    </r>
    <phoneticPr fontId="3" type="noConversion"/>
  </si>
  <si>
    <r>
      <t>(Min 360</t>
    </r>
    <r>
      <rPr>
        <sz val="12"/>
        <rFont val="微軟正黑體"/>
        <family val="2"/>
        <charset val="136"/>
      </rPr>
      <t>仟元</t>
    </r>
    <r>
      <rPr>
        <sz val="12"/>
        <rFont val="Century Gothic"/>
        <family val="2"/>
      </rPr>
      <t>)</t>
    </r>
    <r>
      <rPr>
        <sz val="12"/>
        <rFont val="微軟正黑體"/>
        <family val="2"/>
        <charset val="136"/>
      </rPr>
      <t>維持營運</t>
    </r>
    <phoneticPr fontId="3" type="noConversion"/>
  </si>
  <si>
    <r>
      <rPr>
        <sz val="12"/>
        <rFont val="微軟正黑體"/>
        <family val="2"/>
        <charset val="136"/>
      </rPr>
      <t>爬蟲館雲端服務依實際費用支付，每月約</t>
    </r>
    <r>
      <rPr>
        <sz val="12"/>
        <rFont val="Century Gothic"/>
        <family val="2"/>
      </rPr>
      <t>3</t>
    </r>
    <r>
      <rPr>
        <sz val="12"/>
        <rFont val="微軟正黑體"/>
        <family val="2"/>
        <charset val="136"/>
      </rPr>
      <t>萬，預留增加資料流量</t>
    </r>
    <phoneticPr fontId="3" type="noConversion"/>
  </si>
  <si>
    <r>
      <rPr>
        <sz val="12"/>
        <rFont val="微軟正黑體"/>
        <family val="2"/>
        <charset val="136"/>
      </rPr>
      <t>《雲端服務租用》</t>
    </r>
    <r>
      <rPr>
        <sz val="12"/>
        <rFont val="Century Gothic"/>
        <family val="2"/>
      </rPr>
      <t>AWS/GCP/Azure_</t>
    </r>
    <r>
      <rPr>
        <sz val="12"/>
        <rFont val="微軟正黑體"/>
        <family val="2"/>
        <charset val="136"/>
      </rPr>
      <t>實驗使用</t>
    </r>
    <phoneticPr fontId="3" type="noConversion"/>
  </si>
  <si>
    <r>
      <rPr>
        <sz val="12"/>
        <rFont val="微軟正黑體"/>
        <family val="2"/>
        <charset val="136"/>
      </rPr>
      <t>《雲端服務租用》數位科技聲量監測</t>
    </r>
    <r>
      <rPr>
        <sz val="12"/>
        <rFont val="Century Gothic"/>
        <family val="2"/>
      </rPr>
      <t xml:space="preserve"> </t>
    </r>
    <r>
      <rPr>
        <sz val="12"/>
        <color rgb="FFFF0000"/>
        <rFont val="Century Gothic"/>
        <family val="2"/>
      </rPr>
      <t>NEW</t>
    </r>
    <phoneticPr fontId="3" type="noConversion"/>
  </si>
  <si>
    <r>
      <rPr>
        <sz val="12"/>
        <rFont val="微軟正黑體"/>
        <family val="2"/>
        <charset val="136"/>
      </rPr>
      <t>科發組</t>
    </r>
    <r>
      <rPr>
        <sz val="12"/>
        <rFont val="Century Gothic"/>
        <family val="2"/>
      </rPr>
      <t>/Yvon</t>
    </r>
    <phoneticPr fontId="3" type="noConversion"/>
  </si>
  <si>
    <r>
      <rPr>
        <sz val="12"/>
        <color indexed="9"/>
        <rFont val="微軟正黑體"/>
        <family val="2"/>
        <charset val="136"/>
      </rPr>
      <t>業務推廣費－媒體廣告費</t>
    </r>
    <phoneticPr fontId="4" type="noConversion"/>
  </si>
  <si>
    <r>
      <rPr>
        <sz val="12"/>
        <rFont val="微軟正黑體"/>
        <family val="2"/>
        <charset val="136"/>
      </rPr>
      <t>《活動舉辦》</t>
    </r>
    <r>
      <rPr>
        <sz val="12"/>
        <rFont val="Century Gothic"/>
        <family val="2"/>
      </rPr>
      <t>2026</t>
    </r>
    <r>
      <rPr>
        <sz val="12"/>
        <rFont val="微軟正黑體"/>
        <family val="2"/>
        <charset val="136"/>
      </rPr>
      <t>年台北金融科技展</t>
    </r>
    <phoneticPr fontId="3" type="noConversion"/>
  </si>
  <si>
    <r>
      <rPr>
        <sz val="12"/>
        <rFont val="微軟正黑體"/>
        <family val="2"/>
        <charset val="136"/>
      </rPr>
      <t>科發組</t>
    </r>
    <r>
      <rPr>
        <sz val="12"/>
        <rFont val="Century Gothic"/>
        <family val="2"/>
      </rPr>
      <t>/</t>
    </r>
    <r>
      <rPr>
        <sz val="12"/>
        <rFont val="微軟正黑體"/>
        <family val="2"/>
        <charset val="136"/>
      </rPr>
      <t>立夫</t>
    </r>
  </si>
  <si>
    <r>
      <rPr>
        <sz val="12"/>
        <rFont val="微軟正黑體"/>
        <family val="2"/>
        <charset val="136"/>
      </rPr>
      <t>參考</t>
    </r>
    <r>
      <rPr>
        <sz val="12"/>
        <rFont val="Century Gothic"/>
        <family val="2"/>
      </rPr>
      <t>2025</t>
    </r>
    <r>
      <rPr>
        <sz val="12"/>
        <rFont val="微軟正黑體"/>
        <family val="2"/>
        <charset val="136"/>
      </rPr>
      <t>年活動舉辦費用</t>
    </r>
    <phoneticPr fontId="3" type="noConversion"/>
  </si>
  <si>
    <r>
      <rPr>
        <sz val="12"/>
        <rFont val="微軟正黑體"/>
        <family val="2"/>
        <charset val="136"/>
      </rPr>
      <t>《活動舉辦》</t>
    </r>
    <r>
      <rPr>
        <sz val="12"/>
        <rFont val="Century Gothic"/>
        <family val="2"/>
      </rPr>
      <t>2026</t>
    </r>
    <r>
      <rPr>
        <sz val="12"/>
        <rFont val="微軟正黑體"/>
        <family val="2"/>
        <charset val="136"/>
      </rPr>
      <t>年永豐科技年會</t>
    </r>
    <r>
      <rPr>
        <sz val="12"/>
        <color rgb="FFFF0000"/>
        <rFont val="Century Gothic"/>
        <family val="2"/>
      </rPr>
      <t xml:space="preserve"> NEW</t>
    </r>
    <phoneticPr fontId="3" type="noConversion"/>
  </si>
  <si>
    <r>
      <rPr>
        <sz val="12"/>
        <rFont val="微軟正黑體"/>
        <family val="2"/>
        <charset val="136"/>
      </rPr>
      <t>《活動協辦》金融科技產業聯盟</t>
    </r>
    <r>
      <rPr>
        <sz val="12"/>
        <rFont val="Century Gothic"/>
        <family val="2"/>
      </rPr>
      <t>_</t>
    </r>
    <r>
      <rPr>
        <sz val="12"/>
        <rFont val="微軟正黑體"/>
        <family val="2"/>
        <charset val="136"/>
      </rPr>
      <t>工作圈專案參與</t>
    </r>
    <r>
      <rPr>
        <sz val="12"/>
        <rFont val="Century Gothic"/>
        <family val="2"/>
      </rPr>
      <t xml:space="preserve"> </t>
    </r>
    <r>
      <rPr>
        <sz val="12"/>
        <color rgb="FFFF0000"/>
        <rFont val="Century Gothic"/>
        <family val="2"/>
      </rPr>
      <t>NEW</t>
    </r>
    <phoneticPr fontId="3" type="noConversion"/>
  </si>
  <si>
    <r>
      <rPr>
        <sz val="12"/>
        <rFont val="微軟正黑體"/>
        <family val="2"/>
        <charset val="136"/>
      </rPr>
      <t>策略組</t>
    </r>
    <r>
      <rPr>
        <sz val="12"/>
        <rFont val="Century Gothic"/>
        <family val="2"/>
      </rPr>
      <t>/</t>
    </r>
    <r>
      <rPr>
        <sz val="12"/>
        <rFont val="微軟正黑體"/>
        <family val="2"/>
        <charset val="136"/>
      </rPr>
      <t>婉婷</t>
    </r>
    <phoneticPr fontId="3" type="noConversion"/>
  </si>
  <si>
    <r>
      <rPr>
        <sz val="12"/>
        <rFont val="微軟正黑體"/>
        <family val="2"/>
        <charset val="136"/>
      </rPr>
      <t>金</t>
    </r>
    <r>
      <rPr>
        <sz val="12"/>
        <rFont val="Century Gothic"/>
        <family val="2"/>
      </rPr>
      <t>/</t>
    </r>
    <r>
      <rPr>
        <sz val="12"/>
        <rFont val="微軟正黑體"/>
        <family val="2"/>
        <charset val="136"/>
      </rPr>
      <t>銀</t>
    </r>
    <r>
      <rPr>
        <sz val="12"/>
        <rFont val="Century Gothic"/>
        <family val="2"/>
      </rPr>
      <t>/</t>
    </r>
    <r>
      <rPr>
        <sz val="12"/>
        <rFont val="微軟正黑體"/>
        <family val="2"/>
        <charset val="136"/>
      </rPr>
      <t>證平均分攤各</t>
    </r>
    <r>
      <rPr>
        <sz val="12"/>
        <rFont val="Century Gothic"/>
        <family val="2"/>
      </rPr>
      <t>$350</t>
    </r>
    <phoneticPr fontId="3" type="noConversion"/>
  </si>
  <si>
    <r>
      <rPr>
        <sz val="12"/>
        <rFont val="微軟正黑體"/>
        <family val="2"/>
        <charset val="136"/>
      </rPr>
      <t>《活動協辦》</t>
    </r>
    <r>
      <rPr>
        <sz val="12"/>
        <rFont val="Century Gothic"/>
        <family val="2"/>
      </rPr>
      <t xml:space="preserve">AI </t>
    </r>
    <r>
      <rPr>
        <sz val="12"/>
        <rFont val="微軟正黑體"/>
        <family val="2"/>
        <charset val="136"/>
      </rPr>
      <t>年會</t>
    </r>
    <r>
      <rPr>
        <sz val="12"/>
        <rFont val="Century Gothic"/>
        <family val="2"/>
      </rPr>
      <t xml:space="preserve"> (</t>
    </r>
    <r>
      <rPr>
        <sz val="12"/>
        <rFont val="微軟正黑體"/>
        <family val="2"/>
        <charset val="136"/>
      </rPr>
      <t>外部</t>
    </r>
    <r>
      <rPr>
        <sz val="12"/>
        <rFont val="Century Gothic"/>
        <family val="2"/>
      </rPr>
      <t xml:space="preserve">) </t>
    </r>
    <r>
      <rPr>
        <sz val="12"/>
        <color rgb="FFFF0000"/>
        <rFont val="Century Gothic"/>
        <family val="2"/>
      </rPr>
      <t>NEW</t>
    </r>
    <phoneticPr fontId="3" type="noConversion"/>
  </si>
  <si>
    <r>
      <rPr>
        <sz val="12"/>
        <rFont val="微軟正黑體"/>
        <family val="2"/>
        <charset val="136"/>
      </rPr>
      <t>《活動協辦》生成式</t>
    </r>
    <r>
      <rPr>
        <sz val="12"/>
        <rFont val="Century Gothic"/>
        <family val="2"/>
      </rPr>
      <t xml:space="preserve"> AI </t>
    </r>
    <r>
      <rPr>
        <sz val="12"/>
        <rFont val="微軟正黑體"/>
        <family val="2"/>
        <charset val="136"/>
      </rPr>
      <t>年會</t>
    </r>
    <r>
      <rPr>
        <sz val="12"/>
        <rFont val="Century Gothic"/>
        <family val="2"/>
      </rPr>
      <t xml:space="preserve"> (</t>
    </r>
    <r>
      <rPr>
        <sz val="12"/>
        <rFont val="微軟正黑體"/>
        <family val="2"/>
        <charset val="136"/>
      </rPr>
      <t>外部</t>
    </r>
    <r>
      <rPr>
        <sz val="12"/>
        <rFont val="Century Gothic"/>
        <family val="2"/>
      </rPr>
      <t xml:space="preserve">) </t>
    </r>
    <r>
      <rPr>
        <sz val="12"/>
        <color rgb="FFFF0000"/>
        <rFont val="Century Gothic"/>
        <family val="2"/>
      </rPr>
      <t>NEW</t>
    </r>
    <phoneticPr fontId="3" type="noConversion"/>
  </si>
  <si>
    <r>
      <rPr>
        <sz val="12"/>
        <color indexed="9"/>
        <rFont val="微軟正黑體"/>
        <family val="2"/>
        <charset val="136"/>
      </rPr>
      <t>專業服務費用－顧問費</t>
    </r>
    <phoneticPr fontId="4" type="noConversion"/>
  </si>
  <si>
    <r>
      <rPr>
        <sz val="12"/>
        <rFont val="微軟正黑體"/>
        <family val="2"/>
        <charset val="136"/>
      </rPr>
      <t>《顧問服務》</t>
    </r>
    <r>
      <rPr>
        <sz val="12"/>
        <rFont val="Century Gothic"/>
        <family val="2"/>
      </rPr>
      <t>2026 S3</t>
    </r>
    <r>
      <rPr>
        <sz val="12"/>
        <rFont val="微軟正黑體"/>
        <family val="2"/>
        <charset val="136"/>
      </rPr>
      <t>策略</t>
    </r>
    <r>
      <rPr>
        <sz val="12"/>
        <rFont val="Century Gothic"/>
        <family val="2"/>
      </rPr>
      <t>_</t>
    </r>
    <r>
      <rPr>
        <sz val="12"/>
        <rFont val="微軟正黑體"/>
        <family val="2"/>
        <charset val="136"/>
      </rPr>
      <t>金控整合設計卓越中心</t>
    </r>
    <phoneticPr fontId="3" type="noConversion"/>
  </si>
  <si>
    <r>
      <rPr>
        <sz val="12"/>
        <rFont val="微軟正黑體"/>
        <family val="2"/>
        <charset val="136"/>
      </rPr>
      <t>策略組</t>
    </r>
    <r>
      <rPr>
        <sz val="12"/>
        <rFont val="Century Gothic"/>
        <family val="2"/>
      </rPr>
      <t>/Matt</t>
    </r>
    <phoneticPr fontId="3" type="noConversion"/>
  </si>
  <si>
    <r>
      <rPr>
        <sz val="12"/>
        <rFont val="微軟正黑體"/>
        <family val="2"/>
        <charset val="136"/>
      </rPr>
      <t>《顧問服務》</t>
    </r>
    <r>
      <rPr>
        <sz val="12"/>
        <rFont val="Century Gothic"/>
        <family val="2"/>
      </rPr>
      <t>2026 AI</t>
    </r>
    <r>
      <rPr>
        <sz val="12"/>
        <rFont val="微軟正黑體"/>
        <family val="2"/>
        <charset val="136"/>
      </rPr>
      <t>發展策略藍圖落地</t>
    </r>
    <r>
      <rPr>
        <sz val="12"/>
        <rFont val="Century Gothic"/>
        <family val="2"/>
      </rPr>
      <t xml:space="preserve"> </t>
    </r>
    <r>
      <rPr>
        <sz val="12"/>
        <color rgb="FFFF0000"/>
        <rFont val="Century Gothic"/>
        <family val="2"/>
      </rPr>
      <t>NEW</t>
    </r>
    <phoneticPr fontId="3" type="noConversion"/>
  </si>
  <si>
    <r>
      <rPr>
        <sz val="12"/>
        <rFont val="微軟正黑體"/>
        <family val="2"/>
        <charset val="136"/>
      </rPr>
      <t>策略組</t>
    </r>
    <r>
      <rPr>
        <sz val="12"/>
        <rFont val="Century Gothic"/>
        <family val="2"/>
      </rPr>
      <t>/</t>
    </r>
    <r>
      <rPr>
        <sz val="12"/>
        <rFont val="微軟正黑體"/>
        <family val="2"/>
        <charset val="136"/>
      </rPr>
      <t>燕茹</t>
    </r>
    <phoneticPr fontId="3" type="noConversion"/>
  </si>
  <si>
    <r>
      <rPr>
        <sz val="12"/>
        <color indexed="9"/>
        <rFont val="微軟正黑體"/>
        <family val="2"/>
        <charset val="136"/>
      </rPr>
      <t>專業服務費用－其他專業服務費</t>
    </r>
    <phoneticPr fontId="4" type="noConversion"/>
  </si>
  <si>
    <r>
      <rPr>
        <sz val="12"/>
        <rFont val="微軟正黑體"/>
        <family val="2"/>
        <charset val="136"/>
      </rPr>
      <t>《產學合作》東吳數金中心</t>
    </r>
    <phoneticPr fontId="3" type="noConversion"/>
  </si>
  <si>
    <r>
      <rPr>
        <sz val="12"/>
        <rFont val="微軟正黑體"/>
        <family val="2"/>
        <charset val="136"/>
      </rPr>
      <t>策略組</t>
    </r>
    <r>
      <rPr>
        <sz val="12"/>
        <rFont val="Century Gothic"/>
        <family val="2"/>
      </rPr>
      <t>/</t>
    </r>
    <r>
      <rPr>
        <sz val="12"/>
        <rFont val="微軟正黑體"/>
        <family val="2"/>
        <charset val="136"/>
      </rPr>
      <t>泳晞</t>
    </r>
    <phoneticPr fontId="3" type="noConversion"/>
  </si>
  <si>
    <r>
      <rPr>
        <sz val="12"/>
        <rFont val="微軟正黑體"/>
        <family val="2"/>
        <charset val="136"/>
      </rPr>
      <t>《產學合作》政大商業競賽</t>
    </r>
    <phoneticPr fontId="3" type="noConversion"/>
  </si>
  <si>
    <r>
      <rPr>
        <sz val="12"/>
        <rFont val="微軟正黑體"/>
        <family val="2"/>
        <charset val="136"/>
      </rPr>
      <t>策略組</t>
    </r>
    <r>
      <rPr>
        <sz val="12"/>
        <rFont val="Century Gothic"/>
        <family val="2"/>
      </rPr>
      <t>/Oliver</t>
    </r>
    <phoneticPr fontId="3" type="noConversion"/>
  </si>
  <si>
    <r>
      <rPr>
        <sz val="12"/>
        <rFont val="微軟正黑體"/>
        <family val="2"/>
        <charset val="136"/>
      </rPr>
      <t>《產學合作》成大實驗室</t>
    </r>
    <phoneticPr fontId="3" type="noConversion"/>
  </si>
  <si>
    <r>
      <rPr>
        <sz val="12"/>
        <color theme="1"/>
        <rFont val="微軟正黑體"/>
        <family val="2"/>
        <charset val="136"/>
      </rPr>
      <t>《產學合作》澳洲大學</t>
    </r>
    <r>
      <rPr>
        <sz val="12"/>
        <color theme="1"/>
        <rFont val="Century Gothic"/>
        <family val="2"/>
      </rPr>
      <t>+</t>
    </r>
    <r>
      <rPr>
        <sz val="12"/>
        <color theme="1"/>
        <rFont val="微軟正黑體"/>
        <family val="2"/>
        <charset val="136"/>
      </rPr>
      <t>台灣大學</t>
    </r>
    <r>
      <rPr>
        <sz val="12"/>
        <color theme="1"/>
        <rFont val="Century Gothic"/>
        <family val="2"/>
      </rPr>
      <t xml:space="preserve">_AI </t>
    </r>
    <r>
      <rPr>
        <sz val="12"/>
        <color theme="1"/>
        <rFont val="微軟正黑體"/>
        <family val="2"/>
        <charset val="136"/>
      </rPr>
      <t>賦能量表</t>
    </r>
    <r>
      <rPr>
        <sz val="12"/>
        <color theme="1"/>
        <rFont val="Century Gothic"/>
        <family val="2"/>
      </rPr>
      <t xml:space="preserve"> </t>
    </r>
    <r>
      <rPr>
        <sz val="12"/>
        <color rgb="FFFF0000"/>
        <rFont val="Century Gothic"/>
        <family val="2"/>
      </rPr>
      <t>NEW</t>
    </r>
    <phoneticPr fontId="3" type="noConversion"/>
  </si>
  <si>
    <r>
      <rPr>
        <sz val="12"/>
        <color theme="0" tint="-0.249977111117893"/>
        <rFont val="微軟正黑體"/>
        <family val="2"/>
        <charset val="136"/>
      </rPr>
      <t>《產學合作》</t>
    </r>
    <r>
      <rPr>
        <sz val="12"/>
        <color theme="0" tint="-0.249977111117893"/>
        <rFont val="Century Gothic"/>
        <family val="2"/>
      </rPr>
      <t xml:space="preserve">MIT </t>
    </r>
    <r>
      <rPr>
        <sz val="12"/>
        <color theme="0" tint="-0.249977111117893"/>
        <rFont val="微軟正黑體"/>
        <family val="2"/>
        <charset val="136"/>
      </rPr>
      <t>美國麻省理工學院</t>
    </r>
    <r>
      <rPr>
        <sz val="12"/>
        <color theme="0" tint="-0.249977111117893"/>
        <rFont val="Century Gothic"/>
        <family val="2"/>
      </rPr>
      <t xml:space="preserve"> NEW</t>
    </r>
    <phoneticPr fontId="3" type="noConversion"/>
  </si>
  <si>
    <r>
      <t>AI</t>
    </r>
    <r>
      <rPr>
        <sz val="12"/>
        <color theme="0" tint="-0.249977111117893"/>
        <rFont val="微軟正黑體"/>
        <family val="2"/>
        <charset val="136"/>
      </rPr>
      <t>組</t>
    </r>
    <r>
      <rPr>
        <sz val="12"/>
        <color theme="0" tint="-0.249977111117893"/>
        <rFont val="Century Gothic"/>
        <family val="2"/>
      </rPr>
      <t>/</t>
    </r>
    <r>
      <rPr>
        <sz val="12"/>
        <color theme="0" tint="-0.249977111117893"/>
        <rFont val="微軟正黑體"/>
        <family val="2"/>
        <charset val="136"/>
      </rPr>
      <t>易瑩</t>
    </r>
    <phoneticPr fontId="3" type="noConversion"/>
  </si>
  <si>
    <r>
      <rPr>
        <sz val="12"/>
        <color theme="0" tint="-0.249977111117893"/>
        <rFont val="微軟正黑體"/>
        <family val="2"/>
        <charset val="136"/>
      </rPr>
      <t>定案時將主動請示財務長支應</t>
    </r>
    <phoneticPr fontId="3" type="noConversion"/>
  </si>
  <si>
    <r>
      <rPr>
        <sz val="12"/>
        <rFont val="微軟正黑體"/>
        <family val="2"/>
        <charset val="136"/>
      </rPr>
      <t>《資料源訂閱》</t>
    </r>
    <r>
      <rPr>
        <sz val="12"/>
        <rFont val="Century Gothic"/>
        <family val="2"/>
      </rPr>
      <t xml:space="preserve">Cmoney </t>
    </r>
    <r>
      <rPr>
        <sz val="12"/>
        <rFont val="微軟正黑體"/>
        <family val="2"/>
        <charset val="136"/>
      </rPr>
      <t>資料採購</t>
    </r>
    <phoneticPr fontId="3" type="noConversion"/>
  </si>
  <si>
    <r>
      <rPr>
        <sz val="12"/>
        <rFont val="微軟正黑體"/>
        <family val="2"/>
        <charset val="136"/>
      </rPr>
      <t>每年訂閱費</t>
    </r>
    <phoneticPr fontId="3" type="noConversion"/>
  </si>
  <si>
    <r>
      <rPr>
        <sz val="12"/>
        <rFont val="微軟正黑體"/>
        <family val="2"/>
        <charset val="136"/>
      </rPr>
      <t>《資料源訂閱》爬蟲館資料採購費用</t>
    </r>
    <phoneticPr fontId="3" type="noConversion"/>
  </si>
  <si>
    <r>
      <rPr>
        <sz val="12"/>
        <rFont val="微軟正黑體"/>
        <family val="2"/>
        <charset val="136"/>
      </rPr>
      <t>大數即時輿情及爬蟲資料年度合約</t>
    </r>
    <r>
      <rPr>
        <sz val="12"/>
        <rFont val="Century Gothic"/>
        <family val="2"/>
      </rPr>
      <t xml:space="preserve">$654, </t>
    </r>
    <r>
      <rPr>
        <sz val="12"/>
        <rFont val="微軟正黑體"/>
        <family val="2"/>
        <charset val="136"/>
      </rPr>
      <t>實際約</t>
    </r>
    <r>
      <rPr>
        <sz val="12"/>
        <rFont val="Century Gothic"/>
        <family val="2"/>
      </rPr>
      <t>$480</t>
    </r>
    <phoneticPr fontId="3" type="noConversion"/>
  </si>
  <si>
    <r>
      <rPr>
        <sz val="12"/>
        <rFont val="微軟正黑體"/>
        <family val="2"/>
        <charset val="136"/>
      </rPr>
      <t>《共用》專利申請費用</t>
    </r>
    <phoneticPr fontId="3" type="noConversion"/>
  </si>
  <si>
    <r>
      <rPr>
        <sz val="12"/>
        <rFont val="微軟正黑體"/>
        <family val="2"/>
        <charset val="136"/>
      </rPr>
      <t>策略組</t>
    </r>
    <r>
      <rPr>
        <sz val="12"/>
        <rFont val="Century Gothic"/>
        <family val="2"/>
      </rPr>
      <t>/</t>
    </r>
    <r>
      <rPr>
        <sz val="12"/>
        <rFont val="微軟正黑體"/>
        <family val="2"/>
        <charset val="136"/>
      </rPr>
      <t>玉書</t>
    </r>
    <phoneticPr fontId="3" type="noConversion"/>
  </si>
  <si>
    <r>
      <rPr>
        <sz val="12"/>
        <rFont val="微軟正黑體"/>
        <family val="2"/>
        <charset val="136"/>
      </rPr>
      <t>專利：已取得</t>
    </r>
    <r>
      <rPr>
        <sz val="12"/>
        <rFont val="Century Gothic"/>
        <family val="2"/>
      </rPr>
      <t>(6</t>
    </r>
    <r>
      <rPr>
        <sz val="12"/>
        <rFont val="微軟正黑體"/>
        <family val="2"/>
        <charset val="136"/>
      </rPr>
      <t>項</t>
    </r>
    <r>
      <rPr>
        <sz val="12"/>
        <rFont val="Century Gothic"/>
        <family val="2"/>
      </rPr>
      <t>)+</t>
    </r>
    <r>
      <rPr>
        <sz val="12"/>
        <rFont val="微軟正黑體"/>
        <family val="2"/>
        <charset val="136"/>
      </rPr>
      <t>申請中</t>
    </r>
    <r>
      <rPr>
        <sz val="12"/>
        <rFont val="Century Gothic"/>
        <family val="2"/>
      </rPr>
      <t>(1</t>
    </r>
    <r>
      <rPr>
        <sz val="12"/>
        <rFont val="微軟正黑體"/>
        <family val="2"/>
        <charset val="136"/>
      </rPr>
      <t>項</t>
    </r>
    <r>
      <rPr>
        <sz val="12"/>
        <rFont val="Century Gothic"/>
        <family val="2"/>
      </rPr>
      <t>)</t>
    </r>
    <r>
      <rPr>
        <sz val="12"/>
        <rFont val="微軟正黑體"/>
        <family val="2"/>
        <charset val="136"/>
      </rPr>
      <t>剩餘預算尚可支應；預計申請</t>
    </r>
    <r>
      <rPr>
        <sz val="12"/>
        <rFont val="Century Gothic"/>
        <family val="2"/>
      </rPr>
      <t>(5</t>
    </r>
    <r>
      <rPr>
        <sz val="12"/>
        <rFont val="微軟正黑體"/>
        <family val="2"/>
        <charset val="136"/>
      </rPr>
      <t>項</t>
    </r>
    <r>
      <rPr>
        <sz val="12"/>
        <rFont val="Century Gothic"/>
        <family val="2"/>
      </rPr>
      <t>)</t>
    </r>
    <r>
      <rPr>
        <sz val="12"/>
        <rFont val="微軟正黑體"/>
        <family val="2"/>
        <charset val="136"/>
      </rPr>
      <t>按分攤原則編列</t>
    </r>
    <phoneticPr fontId="3" type="noConversion"/>
  </si>
  <si>
    <r>
      <rPr>
        <sz val="12"/>
        <rFont val="微軟正黑體"/>
        <family val="2"/>
        <charset val="136"/>
      </rPr>
      <t>《共用》會計師合理價格意見書</t>
    </r>
    <phoneticPr fontId="3" type="noConversion"/>
  </si>
  <si>
    <r>
      <rPr>
        <sz val="12"/>
        <color indexed="9"/>
        <rFont val="微軟正黑體"/>
        <family val="2"/>
        <charset val="136"/>
      </rPr>
      <t>總計</t>
    </r>
    <phoneticPr fontId="4" type="noConversion"/>
  </si>
  <si>
    <r>
      <rPr>
        <sz val="36"/>
        <rFont val="微軟正黑體"/>
        <family val="2"/>
        <charset val="136"/>
      </rPr>
      <t>資本支出</t>
    </r>
    <phoneticPr fontId="4" type="noConversion"/>
  </si>
  <si>
    <r>
      <rPr>
        <b/>
        <sz val="22"/>
        <color theme="8"/>
        <rFont val="微軟正黑體"/>
        <family val="2"/>
        <charset val="136"/>
      </rPr>
      <t>資本支出</t>
    </r>
    <r>
      <rPr>
        <b/>
        <sz val="22"/>
        <color theme="8"/>
        <rFont val="Century Gothic"/>
        <family val="2"/>
      </rPr>
      <t xml:space="preserve"> </t>
    </r>
    <r>
      <rPr>
        <sz val="22"/>
        <color theme="8"/>
        <rFont val="Century Gothic"/>
        <family val="2"/>
      </rPr>
      <t>(</t>
    </r>
    <r>
      <rPr>
        <b/>
        <sz val="22"/>
        <color theme="8"/>
        <rFont val="微軟正黑體"/>
        <family val="2"/>
        <charset val="136"/>
      </rPr>
      <t>編列於資訊處</t>
    </r>
    <r>
      <rPr>
        <sz val="22"/>
        <color theme="8"/>
        <rFont val="Century Gothic"/>
        <family val="2"/>
      </rPr>
      <t>)</t>
    </r>
    <phoneticPr fontId="3" type="noConversion"/>
  </si>
  <si>
    <t>機械
及設備</t>
    <phoneticPr fontId="4" type="noConversion"/>
  </si>
  <si>
    <r>
      <rPr>
        <sz val="12"/>
        <rFont val="微軟正黑體"/>
        <family val="2"/>
        <charset val="136"/>
      </rPr>
      <t>筆記型電腦</t>
    </r>
    <r>
      <rPr>
        <sz val="12"/>
        <rFont val="Century Gothic"/>
        <family val="2"/>
      </rPr>
      <t xml:space="preserve"> </t>
    </r>
    <phoneticPr fontId="3" type="noConversion"/>
  </si>
  <si>
    <r>
      <rPr>
        <sz val="12"/>
        <color rgb="FFFF0000"/>
        <rFont val="微軟正黑體"/>
        <family val="2"/>
        <charset val="136"/>
      </rPr>
      <t>該項預算編列時，直接提報予資訊處數量，金額不列入統計</t>
    </r>
    <phoneticPr fontId="3" type="noConversion"/>
  </si>
  <si>
    <r>
      <t xml:space="preserve">HGX H100 </t>
    </r>
    <r>
      <rPr>
        <sz val="12"/>
        <rFont val="微軟正黑體"/>
        <family val="2"/>
        <charset val="136"/>
      </rPr>
      <t>伺服器</t>
    </r>
    <r>
      <rPr>
        <sz val="12"/>
        <rFont val="Century Gothic"/>
        <family val="2"/>
      </rPr>
      <t xml:space="preserve"> (H100 x 4) </t>
    </r>
    <r>
      <rPr>
        <sz val="12"/>
        <color rgb="FFFF0000"/>
        <rFont val="Century Gothic"/>
        <family val="2"/>
      </rPr>
      <t>NEW</t>
    </r>
    <phoneticPr fontId="3" type="noConversion"/>
  </si>
  <si>
    <r>
      <t>NVIDIA DGX Spark (AI</t>
    </r>
    <r>
      <rPr>
        <sz val="12"/>
        <rFont val="微軟正黑體"/>
        <family val="2"/>
        <charset val="136"/>
      </rPr>
      <t>超級電腦</t>
    </r>
    <r>
      <rPr>
        <sz val="12"/>
        <rFont val="Century Gothic"/>
        <family val="2"/>
      </rPr>
      <t xml:space="preserve">) </t>
    </r>
    <r>
      <rPr>
        <sz val="12"/>
        <color rgb="FFFF0000"/>
        <rFont val="Century Gothic"/>
        <family val="2"/>
      </rPr>
      <t>NEW</t>
    </r>
    <phoneticPr fontId="3" type="noConversion"/>
  </si>
  <si>
    <t>電腦
軟體</t>
    <phoneticPr fontId="4" type="noConversion"/>
  </si>
  <si>
    <r>
      <rPr>
        <sz val="12"/>
        <color indexed="9"/>
        <rFont val="微軟正黑體"/>
        <family val="2"/>
        <charset val="136"/>
      </rPr>
      <t>電腦軟體－應用軟體</t>
    </r>
    <phoneticPr fontId="4" type="noConversion"/>
  </si>
  <si>
    <r>
      <rPr>
        <sz val="12"/>
        <rFont val="微軟正黑體"/>
        <family val="2"/>
        <charset val="136"/>
      </rPr>
      <t>《開發環境建置》加入採購機器</t>
    </r>
    <r>
      <rPr>
        <sz val="12"/>
        <rFont val="Century Gothic"/>
        <family val="2"/>
      </rPr>
      <t xml:space="preserve"> (H100x4) </t>
    </r>
    <r>
      <rPr>
        <sz val="12"/>
        <rFont val="微軟正黑體"/>
        <family val="2"/>
        <charset val="136"/>
      </rPr>
      <t>到</t>
    </r>
    <r>
      <rPr>
        <sz val="12"/>
        <rFont val="Century Gothic"/>
        <family val="2"/>
      </rPr>
      <t>K8S</t>
    </r>
    <r>
      <rPr>
        <sz val="12"/>
        <rFont val="微軟正黑體"/>
        <family val="2"/>
        <charset val="136"/>
      </rPr>
      <t>運算叢集中</t>
    </r>
    <r>
      <rPr>
        <sz val="12"/>
        <rFont val="Century Gothic"/>
        <family val="2"/>
      </rPr>
      <t xml:space="preserve"> </t>
    </r>
    <r>
      <rPr>
        <sz val="12"/>
        <color rgb="FFFF0000"/>
        <rFont val="Century Gothic"/>
        <family val="2"/>
      </rPr>
      <t>NEW</t>
    </r>
    <phoneticPr fontId="3" type="noConversion"/>
  </si>
  <si>
    <r>
      <rPr>
        <sz val="12"/>
        <rFont val="微軟正黑體"/>
        <family val="2"/>
        <charset val="136"/>
      </rPr>
      <t>資料資產管理平台功能優化需求</t>
    </r>
    <r>
      <rPr>
        <sz val="12"/>
        <rFont val="Century Gothic"/>
        <family val="2"/>
      </rPr>
      <t xml:space="preserve"> (</t>
    </r>
    <r>
      <rPr>
        <sz val="12"/>
        <rFont val="微軟正黑體"/>
        <family val="2"/>
        <charset val="136"/>
      </rPr>
      <t>人力</t>
    </r>
    <r>
      <rPr>
        <sz val="12"/>
        <rFont val="Century Gothic"/>
        <family val="2"/>
      </rPr>
      <t>)</t>
    </r>
    <phoneticPr fontId="3" type="noConversion"/>
  </si>
  <si>
    <r>
      <t>8,000</t>
    </r>
    <r>
      <rPr>
        <sz val="12"/>
        <rFont val="微軟正黑體"/>
        <family val="2"/>
        <charset val="136"/>
      </rPr>
      <t>元</t>
    </r>
    <r>
      <rPr>
        <sz val="12"/>
        <rFont val="Century Gothic"/>
        <family val="2"/>
      </rPr>
      <t xml:space="preserve"> x 180</t>
    </r>
    <r>
      <rPr>
        <sz val="12"/>
        <rFont val="微軟正黑體"/>
        <family val="2"/>
        <charset val="136"/>
      </rPr>
      <t>人天</t>
    </r>
    <phoneticPr fontId="3" type="noConversion"/>
  </si>
  <si>
    <r>
      <rPr>
        <sz val="12"/>
        <rFont val="微軟正黑體"/>
        <family val="2"/>
        <charset val="136"/>
      </rPr>
      <t>爬蟲館平台功能修改費用</t>
    </r>
    <r>
      <rPr>
        <sz val="12"/>
        <rFont val="Century Gothic"/>
        <family val="2"/>
      </rPr>
      <t xml:space="preserve"> (</t>
    </r>
    <r>
      <rPr>
        <sz val="12"/>
        <rFont val="微軟正黑體"/>
        <family val="2"/>
        <charset val="136"/>
      </rPr>
      <t>人力</t>
    </r>
    <r>
      <rPr>
        <sz val="12"/>
        <rFont val="Century Gothic"/>
        <family val="2"/>
      </rPr>
      <t>)</t>
    </r>
    <phoneticPr fontId="3" type="noConversion"/>
  </si>
  <si>
    <r>
      <t>5,400</t>
    </r>
    <r>
      <rPr>
        <sz val="12"/>
        <rFont val="微軟正黑體"/>
        <family val="2"/>
        <charset val="136"/>
      </rPr>
      <t>元</t>
    </r>
    <r>
      <rPr>
        <sz val="12"/>
        <rFont val="Century Gothic"/>
        <family val="2"/>
      </rPr>
      <t xml:space="preserve"> x 180</t>
    </r>
    <r>
      <rPr>
        <sz val="12"/>
        <rFont val="微軟正黑體"/>
        <family val="2"/>
        <charset val="136"/>
      </rPr>
      <t>人天</t>
    </r>
    <r>
      <rPr>
        <sz val="12"/>
        <rFont val="Century Gothic"/>
        <family val="2"/>
      </rPr>
      <t xml:space="preserve"> </t>
    </r>
    <phoneticPr fontId="3" type="noConversion"/>
  </si>
  <si>
    <r>
      <t>Tableau Server</t>
    </r>
    <r>
      <rPr>
        <sz val="12"/>
        <rFont val="微軟正黑體"/>
        <family val="2"/>
        <charset val="136"/>
      </rPr>
      <t>平台優化與儀表板修改</t>
    </r>
    <r>
      <rPr>
        <sz val="12"/>
        <rFont val="Century Gothic"/>
        <family val="2"/>
      </rPr>
      <t xml:space="preserve"> (</t>
    </r>
    <r>
      <rPr>
        <sz val="12"/>
        <rFont val="微軟正黑體"/>
        <family val="2"/>
        <charset val="136"/>
      </rPr>
      <t>人力</t>
    </r>
    <r>
      <rPr>
        <sz val="12"/>
        <rFont val="Century Gothic"/>
        <family val="2"/>
      </rPr>
      <t>)</t>
    </r>
    <phoneticPr fontId="3" type="noConversion"/>
  </si>
  <si>
    <r>
      <t>12,600</t>
    </r>
    <r>
      <rPr>
        <sz val="12"/>
        <rFont val="微軟正黑體"/>
        <family val="2"/>
        <charset val="136"/>
      </rPr>
      <t>元</t>
    </r>
    <r>
      <rPr>
        <sz val="12"/>
        <rFont val="Century Gothic"/>
        <family val="2"/>
      </rPr>
      <t xml:space="preserve"> x 80</t>
    </r>
    <r>
      <rPr>
        <sz val="12"/>
        <rFont val="微軟正黑體"/>
        <family val="2"/>
        <charset val="136"/>
      </rPr>
      <t>人天</t>
    </r>
    <phoneticPr fontId="3" type="noConversion"/>
  </si>
  <si>
    <r>
      <rPr>
        <sz val="18"/>
        <rFont val="微軟正黑體"/>
        <family val="2"/>
        <charset val="136"/>
      </rPr>
      <t>額外
編列</t>
    </r>
    <phoneticPr fontId="3" type="noConversion"/>
  </si>
  <si>
    <r>
      <rPr>
        <sz val="12"/>
        <rFont val="微軟正黑體"/>
        <family val="2"/>
        <charset val="136"/>
      </rPr>
      <t>海外論文發表</t>
    </r>
    <r>
      <rPr>
        <sz val="12"/>
        <rFont val="Century Gothic"/>
        <family val="2"/>
      </rPr>
      <t>(2</t>
    </r>
    <r>
      <rPr>
        <sz val="12"/>
        <rFont val="微軟正黑體"/>
        <family val="2"/>
        <charset val="136"/>
      </rPr>
      <t>場</t>
    </r>
    <r>
      <rPr>
        <sz val="12"/>
        <rFont val="Century Gothic"/>
        <family val="2"/>
      </rPr>
      <t>,</t>
    </r>
    <r>
      <rPr>
        <sz val="12"/>
        <rFont val="微軟正黑體"/>
        <family val="2"/>
        <charset val="136"/>
      </rPr>
      <t>各</t>
    </r>
    <r>
      <rPr>
        <sz val="12"/>
        <rFont val="Century Gothic"/>
        <family val="2"/>
      </rPr>
      <t>2</t>
    </r>
    <r>
      <rPr>
        <sz val="12"/>
        <rFont val="微軟正黑體"/>
        <family val="2"/>
        <charset val="136"/>
      </rPr>
      <t>人</t>
    </r>
    <r>
      <rPr>
        <sz val="12"/>
        <rFont val="Century Gothic"/>
        <family val="2"/>
      </rPr>
      <t>)</t>
    </r>
    <r>
      <rPr>
        <sz val="12"/>
        <rFont val="微軟正黑體"/>
        <family val="2"/>
        <charset val="136"/>
      </rPr>
      <t>→國外差旅費</t>
    </r>
    <phoneticPr fontId="3" type="noConversion"/>
  </si>
  <si>
    <r>
      <rPr>
        <sz val="12"/>
        <rFont val="微軟正黑體"/>
        <family val="2"/>
        <charset val="136"/>
      </rPr>
      <t>金融科技產業聯盟會費</t>
    </r>
    <r>
      <rPr>
        <sz val="12"/>
        <rFont val="Century Gothic"/>
        <family val="2"/>
      </rPr>
      <t>/</t>
    </r>
    <r>
      <rPr>
        <sz val="12"/>
        <rFont val="微軟正黑體"/>
        <family val="2"/>
        <charset val="136"/>
      </rPr>
      <t>年→公會會費</t>
    </r>
    <phoneticPr fontId="3" type="noConversion"/>
  </si>
  <si>
    <r>
      <rPr>
        <sz val="36"/>
        <rFont val="微軟正黑體"/>
        <family val="2"/>
        <charset val="136"/>
      </rPr>
      <t>營
業
費
用</t>
    </r>
    <phoneticPr fontId="4" type="noConversion"/>
  </si>
  <si>
    <r>
      <rPr>
        <sz val="12"/>
        <color rgb="FFFFFFFF"/>
        <rFont val="微軟正黑體"/>
        <family val="2"/>
        <charset val="136"/>
      </rPr>
      <t>截至</t>
    </r>
    <r>
      <rPr>
        <sz val="12"/>
        <color rgb="FFFFFFFF"/>
        <rFont val="Century Gothic"/>
        <family val="2"/>
      </rPr>
      <t>2025</t>
    </r>
    <r>
      <rPr>
        <sz val="12"/>
        <color rgb="FFFFFFFF"/>
        <rFont val="微軟正黑體"/>
        <family val="2"/>
        <charset val="136"/>
      </rPr>
      <t>年</t>
    </r>
    <r>
      <rPr>
        <sz val="12"/>
        <color rgb="FFFFFFFF"/>
        <rFont val="Century Gothic"/>
        <family val="2"/>
      </rPr>
      <t>12</t>
    </r>
    <r>
      <rPr>
        <sz val="12"/>
        <color rgb="FFFFFFFF"/>
        <rFont val="微軟正黑體"/>
        <family val="2"/>
        <charset val="136"/>
      </rPr>
      <t>月使用金額</t>
    </r>
    <phoneticPr fontId="4" type="noConversion"/>
  </si>
  <si>
    <t>備註 (編列邏輯說明)</t>
    <phoneticPr fontId="4" type="noConversion"/>
  </si>
  <si>
    <r>
      <rPr>
        <sz val="12"/>
        <rFont val="微軟正黑體"/>
        <family val="2"/>
        <charset val="136"/>
      </rPr>
      <t>《軟體訂閱》</t>
    </r>
    <r>
      <rPr>
        <sz val="12"/>
        <rFont val="Century Gothic"/>
        <family val="2"/>
      </rPr>
      <t xml:space="preserve">Tableau </t>
    </r>
    <r>
      <rPr>
        <sz val="12"/>
        <rFont val="微軟正黑體"/>
        <family val="2"/>
        <charset val="136"/>
      </rPr>
      <t>授權</t>
    </r>
    <r>
      <rPr>
        <sz val="12"/>
        <rFont val="Century Gothic"/>
        <family val="2"/>
      </rPr>
      <t xml:space="preserve"> (Creator 6</t>
    </r>
    <r>
      <rPr>
        <sz val="12"/>
        <rFont val="微軟正黑體"/>
        <family val="2"/>
        <charset val="136"/>
      </rPr>
      <t>套</t>
    </r>
    <r>
      <rPr>
        <sz val="12"/>
        <rFont val="Century Gothic"/>
        <family val="2"/>
      </rPr>
      <t xml:space="preserve"> + Explorer 2</t>
    </r>
    <r>
      <rPr>
        <sz val="12"/>
        <rFont val="微軟正黑體"/>
        <family val="2"/>
        <charset val="136"/>
      </rPr>
      <t>套</t>
    </r>
    <r>
      <rPr>
        <sz val="12"/>
        <rFont val="Century Gothic"/>
        <family val="2"/>
      </rPr>
      <t xml:space="preserve"> + Viewer 48</t>
    </r>
    <r>
      <rPr>
        <sz val="12"/>
        <rFont val="微軟正黑體"/>
        <family val="2"/>
        <charset val="136"/>
      </rPr>
      <t>套</t>
    </r>
    <r>
      <rPr>
        <sz val="12"/>
        <rFont val="Century Gothic"/>
        <family val="2"/>
      </rPr>
      <t xml:space="preserve"> + DM) </t>
    </r>
  </si>
  <si>
    <r>
      <rPr>
        <sz val="12"/>
        <rFont val="微軟正黑體"/>
        <family val="2"/>
        <charset val="136"/>
      </rPr>
      <t>數據組</t>
    </r>
    <r>
      <rPr>
        <sz val="12"/>
        <rFont val="Century Gothic"/>
        <family val="2"/>
      </rPr>
      <t>/Justin</t>
    </r>
  </si>
  <si>
    <r>
      <rPr>
        <sz val="12"/>
        <rFont val="微軟正黑體"/>
        <family val="2"/>
        <charset val="136"/>
      </rPr>
      <t>依實際使用情形預估授權種類，總費用較</t>
    </r>
    <r>
      <rPr>
        <sz val="12"/>
        <rFont val="Century Gothic"/>
        <family val="2"/>
      </rPr>
      <t>24</t>
    </r>
    <r>
      <rPr>
        <sz val="12"/>
        <rFont val="微軟正黑體"/>
        <family val="2"/>
        <charset val="136"/>
      </rPr>
      <t>年降低</t>
    </r>
    <r>
      <rPr>
        <sz val="12"/>
        <rFont val="Century Gothic"/>
        <family val="2"/>
      </rPr>
      <t>48</t>
    </r>
    <r>
      <rPr>
        <sz val="12"/>
        <rFont val="微軟正黑體"/>
        <family val="2"/>
        <charset val="136"/>
      </rPr>
      <t>萬</t>
    </r>
  </si>
  <si>
    <r>
      <rPr>
        <sz val="12"/>
        <rFont val="微軟正黑體"/>
        <family val="2"/>
        <charset val="136"/>
      </rPr>
      <t>《軟體訂閱》</t>
    </r>
    <r>
      <rPr>
        <sz val="12"/>
        <rFont val="Century Gothic"/>
        <family val="2"/>
      </rPr>
      <t xml:space="preserve">Notion </t>
    </r>
    <r>
      <rPr>
        <sz val="12"/>
        <rFont val="微軟正黑體"/>
        <family val="2"/>
        <charset val="136"/>
      </rPr>
      <t>專案開發共筆軟體</t>
    </r>
    <r>
      <rPr>
        <sz val="12"/>
        <rFont val="Century Gothic"/>
        <family val="2"/>
      </rPr>
      <t xml:space="preserve"> (</t>
    </r>
    <r>
      <rPr>
        <sz val="12"/>
        <rFont val="微軟正黑體"/>
        <family val="2"/>
        <charset val="136"/>
      </rPr>
      <t>每單位</t>
    </r>
    <r>
      <rPr>
        <sz val="12"/>
        <rFont val="Century Gothic"/>
        <family val="2"/>
      </rPr>
      <t>8</t>
    </r>
    <r>
      <rPr>
        <sz val="12"/>
        <rFont val="微軟正黑體"/>
        <family val="2"/>
        <charset val="136"/>
      </rPr>
      <t>仟元</t>
    </r>
    <r>
      <rPr>
        <sz val="12"/>
        <rFont val="Century Gothic"/>
        <family val="2"/>
      </rPr>
      <t>/</t>
    </r>
    <r>
      <rPr>
        <sz val="12"/>
        <rFont val="微軟正黑體"/>
        <family val="2"/>
        <charset val="136"/>
      </rPr>
      <t>年，共</t>
    </r>
    <r>
      <rPr>
        <sz val="12"/>
        <rFont val="Century Gothic"/>
        <family val="2"/>
      </rPr>
      <t>3</t>
    </r>
    <r>
      <rPr>
        <sz val="12"/>
        <rFont val="微軟正黑體"/>
        <family val="2"/>
        <charset val="136"/>
      </rPr>
      <t>單位</t>
    </r>
    <r>
      <rPr>
        <sz val="12"/>
        <rFont val="Century Gothic"/>
        <family val="2"/>
      </rPr>
      <t>)</t>
    </r>
  </si>
  <si>
    <r>
      <rPr>
        <sz val="12"/>
        <rFont val="微軟正黑體"/>
        <family val="2"/>
        <charset val="136"/>
      </rPr>
      <t>《軟體訂閱》</t>
    </r>
    <r>
      <rPr>
        <sz val="12"/>
        <rFont val="Century Gothic"/>
        <family val="2"/>
      </rPr>
      <t>Chat GPT Plus (</t>
    </r>
    <r>
      <rPr>
        <sz val="12"/>
        <rFont val="微軟正黑體"/>
        <family val="2"/>
        <charset val="136"/>
      </rPr>
      <t>每單位</t>
    </r>
    <r>
      <rPr>
        <sz val="12"/>
        <rFont val="Century Gothic"/>
        <family val="2"/>
      </rPr>
      <t>7.7</t>
    </r>
    <r>
      <rPr>
        <sz val="12"/>
        <rFont val="微軟正黑體"/>
        <family val="2"/>
        <charset val="136"/>
      </rPr>
      <t>仟元</t>
    </r>
    <r>
      <rPr>
        <sz val="12"/>
        <rFont val="Century Gothic"/>
        <family val="2"/>
      </rPr>
      <t>/</t>
    </r>
    <r>
      <rPr>
        <sz val="12"/>
        <rFont val="微軟正黑體"/>
        <family val="2"/>
        <charset val="136"/>
      </rPr>
      <t>年，共</t>
    </r>
    <r>
      <rPr>
        <sz val="12"/>
        <rFont val="Century Gothic"/>
        <family val="2"/>
      </rPr>
      <t>1</t>
    </r>
    <r>
      <rPr>
        <sz val="12"/>
        <rFont val="微軟正黑體"/>
        <family val="2"/>
        <charset val="136"/>
      </rPr>
      <t>單位</t>
    </r>
    <r>
      <rPr>
        <sz val="12"/>
        <rFont val="Century Gothic"/>
        <family val="2"/>
      </rPr>
      <t>)</t>
    </r>
  </si>
  <si>
    <r>
      <rPr>
        <sz val="12"/>
        <rFont val="微軟正黑體"/>
        <family val="2"/>
        <charset val="136"/>
      </rPr>
      <t>《軟體訂閱》</t>
    </r>
    <r>
      <rPr>
        <sz val="12"/>
        <rFont val="Century Gothic"/>
        <family val="2"/>
      </rPr>
      <t>MidJourney Pro (</t>
    </r>
    <r>
      <rPr>
        <sz val="12"/>
        <rFont val="微軟正黑體"/>
        <family val="2"/>
        <charset val="136"/>
      </rPr>
      <t>每單位</t>
    </r>
    <r>
      <rPr>
        <sz val="12"/>
        <rFont val="Century Gothic"/>
        <family val="2"/>
      </rPr>
      <t>24</t>
    </r>
    <r>
      <rPr>
        <sz val="12"/>
        <rFont val="微軟正黑體"/>
        <family val="2"/>
        <charset val="136"/>
      </rPr>
      <t>仟元</t>
    </r>
    <r>
      <rPr>
        <sz val="12"/>
        <rFont val="Century Gothic"/>
        <family val="2"/>
      </rPr>
      <t>/</t>
    </r>
    <r>
      <rPr>
        <sz val="12"/>
        <rFont val="微軟正黑體"/>
        <family val="2"/>
        <charset val="136"/>
      </rPr>
      <t>年，共</t>
    </r>
    <r>
      <rPr>
        <sz val="12"/>
        <rFont val="Century Gothic"/>
        <family val="2"/>
      </rPr>
      <t>1</t>
    </r>
    <r>
      <rPr>
        <sz val="12"/>
        <rFont val="微軟正黑體"/>
        <family val="2"/>
        <charset val="136"/>
      </rPr>
      <t>單位</t>
    </r>
    <r>
      <rPr>
        <sz val="12"/>
        <rFont val="Century Gothic"/>
        <family val="2"/>
      </rPr>
      <t>)</t>
    </r>
  </si>
  <si>
    <r>
      <rPr>
        <sz val="12"/>
        <rFont val="微軟正黑體"/>
        <family val="2"/>
        <charset val="136"/>
      </rPr>
      <t>《維護服務》</t>
    </r>
    <r>
      <rPr>
        <sz val="12"/>
        <rFont val="Century Gothic"/>
        <family val="2"/>
      </rPr>
      <t xml:space="preserve">Tableau </t>
    </r>
    <r>
      <rPr>
        <sz val="12"/>
        <rFont val="微軟正黑體"/>
        <family val="2"/>
        <charset val="136"/>
      </rPr>
      <t>視覺化平台</t>
    </r>
  </si>
  <si>
    <r>
      <rPr>
        <sz val="12"/>
        <rFont val="微軟正黑體"/>
        <family val="2"/>
        <charset val="136"/>
      </rPr>
      <t>增加站台操作技術諮詢服務</t>
    </r>
    <r>
      <rPr>
        <sz val="12"/>
        <rFont val="Century Gothic"/>
        <family val="2"/>
      </rPr>
      <t>7</t>
    </r>
    <r>
      <rPr>
        <sz val="12"/>
        <rFont val="微軟正黑體"/>
        <family val="2"/>
        <charset val="136"/>
      </rPr>
      <t>人天，費用較</t>
    </r>
    <r>
      <rPr>
        <sz val="12"/>
        <rFont val="Century Gothic"/>
        <family val="2"/>
      </rPr>
      <t>24</t>
    </r>
    <r>
      <rPr>
        <sz val="12"/>
        <rFont val="微軟正黑體"/>
        <family val="2"/>
        <charset val="136"/>
      </rPr>
      <t>年增加</t>
    </r>
    <r>
      <rPr>
        <sz val="12"/>
        <rFont val="Century Gothic"/>
        <family val="2"/>
      </rPr>
      <t>11</t>
    </r>
    <r>
      <rPr>
        <sz val="12"/>
        <rFont val="微軟正黑體"/>
        <family val="2"/>
        <charset val="136"/>
      </rPr>
      <t>萬</t>
    </r>
  </si>
  <si>
    <r>
      <rPr>
        <sz val="12"/>
        <color theme="0" tint="-0.249977111117893"/>
        <rFont val="微軟正黑體"/>
        <family val="2"/>
        <charset val="136"/>
      </rPr>
      <t>《維護服務》爬蟲館</t>
    </r>
  </si>
  <si>
    <r>
      <rPr>
        <sz val="12"/>
        <color theme="0" tint="-0.249977111117893"/>
        <rFont val="微軟正黑體"/>
        <family val="2"/>
        <charset val="136"/>
      </rPr>
      <t>科發組</t>
    </r>
    <r>
      <rPr>
        <sz val="12"/>
        <color theme="0" tint="-0.249977111117893"/>
        <rFont val="Century Gothic"/>
        <family val="2"/>
      </rPr>
      <t>/Justin</t>
    </r>
  </si>
  <si>
    <r>
      <t>2025/6</t>
    </r>
    <r>
      <rPr>
        <sz val="12"/>
        <color theme="0" tint="-0.249977111117893"/>
        <rFont val="微軟正黑體"/>
        <family val="2"/>
        <charset val="136"/>
      </rPr>
      <t>月保固期滿，收取維護費</t>
    </r>
  </si>
  <si>
    <r>
      <rPr>
        <sz val="12"/>
        <rFont val="微軟正黑體"/>
        <family val="2"/>
        <charset val="136"/>
      </rPr>
      <t>《維護服務》金控資料資產管理平台</t>
    </r>
    <r>
      <rPr>
        <sz val="12"/>
        <color rgb="FFFF0000"/>
        <rFont val="Century Gothic"/>
        <family val="2"/>
      </rPr>
      <t xml:space="preserve"> NEW</t>
    </r>
    <phoneticPr fontId="3" type="noConversion"/>
  </si>
  <si>
    <r>
      <t>2025/4</t>
    </r>
    <r>
      <rPr>
        <sz val="12"/>
        <rFont val="微軟正黑體"/>
        <family val="2"/>
        <charset val="136"/>
      </rPr>
      <t>月保固期滿，收取維護費</t>
    </r>
    <phoneticPr fontId="3" type="noConversion"/>
  </si>
  <si>
    <r>
      <rPr>
        <sz val="12"/>
        <color theme="0" tint="-0.249977111117893"/>
        <rFont val="微軟正黑體"/>
        <family val="2"/>
        <charset val="136"/>
      </rPr>
      <t>《維護服務》金控統籌資料共享專案</t>
    </r>
    <r>
      <rPr>
        <sz val="12"/>
        <color theme="0" tint="-0.249977111117893"/>
        <rFont val="Century Gothic"/>
        <family val="2"/>
      </rPr>
      <t>_</t>
    </r>
    <r>
      <rPr>
        <sz val="12"/>
        <color theme="0" tint="-0.249977111117893"/>
        <rFont val="微軟正黑體"/>
        <family val="2"/>
        <charset val="136"/>
      </rPr>
      <t>自然人線上案</t>
    </r>
    <r>
      <rPr>
        <sz val="12"/>
        <color theme="0" tint="-0.249977111117893"/>
        <rFont val="Century Gothic"/>
        <family val="2"/>
      </rPr>
      <t>_</t>
    </r>
    <r>
      <rPr>
        <sz val="12"/>
        <color theme="0" tint="-0.249977111117893"/>
        <rFont val="微軟正黑體"/>
        <family val="2"/>
        <charset val="136"/>
      </rPr>
      <t>金控分攤</t>
    </r>
    <r>
      <rPr>
        <sz val="12"/>
        <color theme="0" tint="-0.249977111117893"/>
        <rFont val="Century Gothic"/>
        <family val="2"/>
        <charset val="136"/>
      </rPr>
      <t xml:space="preserve"> </t>
    </r>
    <r>
      <rPr>
        <sz val="12"/>
        <color theme="0" tint="-0.249977111117893"/>
        <rFont val="Century Gothic"/>
        <family val="2"/>
      </rPr>
      <t>NEW</t>
    </r>
    <phoneticPr fontId="3" type="noConversion"/>
  </si>
  <si>
    <r>
      <rPr>
        <sz val="12"/>
        <color theme="0" tint="-0.249977111117893"/>
        <rFont val="微軟正黑體"/>
        <family val="2"/>
        <charset val="136"/>
      </rPr>
      <t>策略組</t>
    </r>
    <r>
      <rPr>
        <sz val="12"/>
        <color theme="0" tint="-0.249977111117893"/>
        <rFont val="Century Gothic"/>
        <family val="2"/>
      </rPr>
      <t>/Matt</t>
    </r>
    <phoneticPr fontId="3" type="noConversion"/>
  </si>
  <si>
    <r>
      <rPr>
        <sz val="12"/>
        <color theme="0" tint="-0.249977111117893"/>
        <rFont val="微軟正黑體"/>
        <family val="2"/>
        <charset val="136"/>
      </rPr>
      <t>《自然人</t>
    </r>
    <r>
      <rPr>
        <sz val="12"/>
        <color theme="0" tint="-0.249977111117893"/>
        <rFont val="Century Gothic"/>
        <family val="2"/>
      </rPr>
      <t>_</t>
    </r>
    <r>
      <rPr>
        <sz val="12"/>
        <color theme="0" tint="-0.249977111117893"/>
        <rFont val="微軟正黑體"/>
        <family val="2"/>
        <charset val="136"/>
      </rPr>
      <t>線上案》全案維護費用</t>
    </r>
    <r>
      <rPr>
        <sz val="12"/>
        <color theme="0" tint="-0.249977111117893"/>
        <rFont val="Century Gothic"/>
        <family val="2"/>
      </rPr>
      <t xml:space="preserve"> </t>
    </r>
    <r>
      <rPr>
        <sz val="12"/>
        <color theme="0" tint="-0.249977111117893"/>
        <rFont val="微軟正黑體"/>
        <family val="2"/>
        <charset val="136"/>
      </rPr>
      <t>約</t>
    </r>
    <r>
      <rPr>
        <sz val="12"/>
        <color theme="0" tint="-0.249977111117893"/>
        <rFont val="Century Gothic"/>
        <family val="2"/>
      </rPr>
      <t>$12</t>
    </r>
    <r>
      <rPr>
        <sz val="12"/>
        <color theme="0" tint="-0.249977111117893"/>
        <rFont val="微軟正黑體"/>
        <family val="2"/>
        <charset val="136"/>
      </rPr>
      <t>萬元</t>
    </r>
    <r>
      <rPr>
        <sz val="12"/>
        <color theme="0" tint="-0.249977111117893"/>
        <rFont val="Century Gothic"/>
        <family val="2"/>
      </rPr>
      <t>(</t>
    </r>
    <r>
      <rPr>
        <sz val="12"/>
        <color theme="0" tint="-0.249977111117893"/>
        <rFont val="微軟正黑體"/>
        <family val="2"/>
        <charset val="136"/>
      </rPr>
      <t>維護</t>
    </r>
    <r>
      <rPr>
        <sz val="12"/>
        <color theme="0" tint="-0.249977111117893"/>
        <rFont val="Century Gothic"/>
        <family val="2"/>
      </rPr>
      <t>+</t>
    </r>
    <r>
      <rPr>
        <sz val="12"/>
        <color theme="0" tint="-0.249977111117893"/>
        <rFont val="微軟正黑體"/>
        <family val="2"/>
        <charset val="136"/>
      </rPr>
      <t>定期源碼、弱掃、第三方人力</t>
    </r>
    <r>
      <rPr>
        <sz val="12"/>
        <color theme="0" tint="-0.249977111117893"/>
        <rFont val="Century Gothic"/>
        <family val="2"/>
      </rPr>
      <t>)</t>
    </r>
    <phoneticPr fontId="3" type="noConversion"/>
  </si>
  <si>
    <r>
      <rPr>
        <sz val="12"/>
        <rFont val="微軟正黑體"/>
        <family val="2"/>
        <charset val="136"/>
      </rPr>
      <t>《雲端服務租用》</t>
    </r>
    <r>
      <rPr>
        <sz val="12"/>
        <rFont val="Century Gothic"/>
        <family val="2"/>
      </rPr>
      <t>AWS/GCP/Azure_</t>
    </r>
    <r>
      <rPr>
        <sz val="12"/>
        <rFont val="微軟正黑體"/>
        <family val="2"/>
        <charset val="136"/>
      </rPr>
      <t>一般使用</t>
    </r>
  </si>
  <si>
    <r>
      <rPr>
        <sz val="12"/>
        <rFont val="微軟正黑體"/>
        <family val="2"/>
        <charset val="136"/>
      </rPr>
      <t>科發組</t>
    </r>
    <r>
      <rPr>
        <sz val="12"/>
        <rFont val="Century Gothic"/>
        <family val="2"/>
      </rPr>
      <t>/Justin</t>
    </r>
  </si>
  <si>
    <r>
      <rPr>
        <sz val="12"/>
        <rFont val="微軟正黑體"/>
        <family val="2"/>
        <charset val="136"/>
      </rPr>
      <t>實支實付，平均</t>
    </r>
    <r>
      <rPr>
        <sz val="12"/>
        <rFont val="Century Gothic"/>
        <family val="2"/>
      </rPr>
      <t>$30/</t>
    </r>
    <r>
      <rPr>
        <sz val="12"/>
        <rFont val="微軟正黑體"/>
        <family val="2"/>
        <charset val="136"/>
      </rPr>
      <t>月預計規劃數位幕僚使用</t>
    </r>
    <r>
      <rPr>
        <sz val="12"/>
        <rFont val="Century Gothic"/>
        <family val="2"/>
      </rPr>
      <t>$400</t>
    </r>
    <phoneticPr fontId="3" type="noConversion"/>
  </si>
  <si>
    <r>
      <rPr>
        <sz val="12"/>
        <rFont val="微軟正黑體"/>
        <family val="2"/>
        <charset val="136"/>
      </rPr>
      <t>《雲端服務租用》</t>
    </r>
    <r>
      <rPr>
        <sz val="12"/>
        <rFont val="Century Gothic"/>
        <family val="2"/>
      </rPr>
      <t>AWS/GCP/Azure_</t>
    </r>
    <r>
      <rPr>
        <sz val="12"/>
        <rFont val="微軟正黑體"/>
        <family val="2"/>
        <charset val="136"/>
      </rPr>
      <t>實驗使用</t>
    </r>
  </si>
  <si>
    <r>
      <rPr>
        <sz val="12"/>
        <rFont val="微軟正黑體"/>
        <family val="2"/>
        <charset val="136"/>
      </rPr>
      <t>雲端費用之金額與是否編列於數科處待定，詢問資訊處中，尚待回覆</t>
    </r>
    <phoneticPr fontId="3" type="noConversion"/>
  </si>
  <si>
    <t>業務推廣費－媒體廣告費</t>
    <phoneticPr fontId="4" type="noConversion"/>
  </si>
  <si>
    <r>
      <rPr>
        <sz val="12"/>
        <rFont val="微軟正黑體"/>
        <family val="2"/>
        <charset val="136"/>
      </rPr>
      <t>《活動舉辦》</t>
    </r>
    <r>
      <rPr>
        <sz val="12"/>
        <rFont val="Century Gothic"/>
        <family val="2"/>
      </rPr>
      <t xml:space="preserve">2025 </t>
    </r>
    <r>
      <rPr>
        <sz val="12"/>
        <rFont val="微軟正黑體"/>
        <family val="2"/>
        <charset val="136"/>
      </rPr>
      <t>台北國際金融博覽會</t>
    </r>
    <phoneticPr fontId="3" type="noConversion"/>
  </si>
  <si>
    <r>
      <rPr>
        <sz val="12"/>
        <rFont val="微軟正黑體"/>
        <family val="2"/>
        <charset val="136"/>
      </rPr>
      <t>策略組</t>
    </r>
    <r>
      <rPr>
        <sz val="12"/>
        <rFont val="Century Gothic"/>
        <family val="2"/>
      </rPr>
      <t>/</t>
    </r>
    <r>
      <rPr>
        <sz val="12"/>
        <rFont val="微軟正黑體"/>
        <family val="2"/>
        <charset val="136"/>
      </rPr>
      <t>倚婷</t>
    </r>
    <phoneticPr fontId="3" type="noConversion"/>
  </si>
  <si>
    <r>
      <rPr>
        <sz val="12"/>
        <rFont val="微軟正黑體"/>
        <family val="2"/>
        <charset val="136"/>
      </rPr>
      <t>《活動舉辦》</t>
    </r>
    <r>
      <rPr>
        <sz val="12"/>
        <rFont val="Century Gothic"/>
        <family val="2"/>
      </rPr>
      <t xml:space="preserve">AI </t>
    </r>
    <r>
      <rPr>
        <sz val="12"/>
        <rFont val="微軟正黑體"/>
        <family val="2"/>
        <charset val="136"/>
      </rPr>
      <t>技術主題競賽</t>
    </r>
    <phoneticPr fontId="3" type="noConversion"/>
  </si>
  <si>
    <r>
      <rPr>
        <sz val="12"/>
        <color theme="0" tint="-0.249977111117893"/>
        <rFont val="微軟正黑體"/>
        <family val="2"/>
        <charset val="136"/>
      </rPr>
      <t>《活動舉辦》</t>
    </r>
    <r>
      <rPr>
        <sz val="12"/>
        <color theme="0" tint="-0.249977111117893"/>
        <rFont val="Century Gothic"/>
        <family val="2"/>
      </rPr>
      <t>RPA</t>
    </r>
    <r>
      <rPr>
        <sz val="12"/>
        <color theme="0" tint="-0.249977111117893"/>
        <rFont val="微軟正黑體"/>
        <family val="2"/>
        <charset val="136"/>
      </rPr>
      <t>焦點小組研究會</t>
    </r>
    <r>
      <rPr>
        <sz val="12"/>
        <color theme="0" tint="-0.249977111117893"/>
        <rFont val="Century Gothic"/>
        <family val="2"/>
      </rPr>
      <t xml:space="preserve"> NEW</t>
    </r>
    <phoneticPr fontId="3" type="noConversion"/>
  </si>
  <si>
    <r>
      <rPr>
        <sz val="12"/>
        <color theme="0" tint="-0.249977111117893"/>
        <rFont val="微軟正黑體"/>
        <family val="2"/>
        <charset val="136"/>
      </rPr>
      <t>策略組</t>
    </r>
    <r>
      <rPr>
        <sz val="12"/>
        <color theme="0" tint="-0.249977111117893"/>
        <rFont val="Century Gothic"/>
        <family val="2"/>
      </rPr>
      <t>/Heather</t>
    </r>
    <phoneticPr fontId="3" type="noConversion"/>
  </si>
  <si>
    <r>
      <rPr>
        <sz val="12"/>
        <color theme="0" tint="-0.249977111117893"/>
        <rFont val="微軟正黑體"/>
        <family val="2"/>
        <charset val="136"/>
      </rPr>
      <t>場地費</t>
    </r>
    <r>
      <rPr>
        <sz val="12"/>
        <color theme="0" tint="-0.249977111117893"/>
        <rFont val="Century Gothic"/>
        <family val="2"/>
      </rPr>
      <t xml:space="preserve"> 8,000 x 2</t>
    </r>
    <r>
      <rPr>
        <sz val="12"/>
        <color theme="0" tint="-0.249977111117893"/>
        <rFont val="微軟正黑體"/>
        <family val="2"/>
        <charset val="136"/>
      </rPr>
      <t>日</t>
    </r>
    <r>
      <rPr>
        <sz val="12"/>
        <color theme="0" tint="-0.249977111117893"/>
        <rFont val="Century Gothic"/>
        <family val="2"/>
      </rPr>
      <t>=16,000+</t>
    </r>
    <r>
      <rPr>
        <sz val="12"/>
        <color theme="0" tint="-0.249977111117893"/>
        <rFont val="微軟正黑體"/>
        <family val="2"/>
        <charset val="136"/>
      </rPr>
      <t>雜費</t>
    </r>
    <r>
      <rPr>
        <sz val="12"/>
        <color theme="0" tint="-0.249977111117893"/>
        <rFont val="Century Gothic"/>
        <family val="2"/>
      </rPr>
      <t xml:space="preserve"> 300*48 </t>
    </r>
    <r>
      <rPr>
        <sz val="12"/>
        <color theme="0" tint="-0.249977111117893"/>
        <rFont val="微軟正黑體"/>
        <family val="2"/>
        <charset val="136"/>
      </rPr>
      <t>人</t>
    </r>
    <r>
      <rPr>
        <sz val="12"/>
        <color theme="0" tint="-0.249977111117893"/>
        <rFont val="Century Gothic"/>
        <family val="2"/>
      </rPr>
      <t>= 14,400</t>
    </r>
  </si>
  <si>
    <t>專業服務費用－顧問費</t>
    <phoneticPr fontId="4" type="noConversion"/>
  </si>
  <si>
    <r>
      <rPr>
        <sz val="12"/>
        <rFont val="微軟正黑體"/>
        <family val="2"/>
        <charset val="136"/>
      </rPr>
      <t>《顧問服務》</t>
    </r>
    <r>
      <rPr>
        <sz val="12"/>
        <rFont val="Century Gothic"/>
        <family val="2"/>
      </rPr>
      <t>2025 S3</t>
    </r>
    <r>
      <rPr>
        <sz val="12"/>
        <rFont val="微軟正黑體"/>
        <family val="2"/>
        <charset val="136"/>
      </rPr>
      <t>策略</t>
    </r>
    <r>
      <rPr>
        <sz val="12"/>
        <rFont val="Century Gothic"/>
        <family val="2"/>
      </rPr>
      <t>_</t>
    </r>
    <r>
      <rPr>
        <sz val="12"/>
        <rFont val="微軟正黑體"/>
        <family val="2"/>
        <charset val="136"/>
      </rPr>
      <t>金控整合設計卓越中心</t>
    </r>
    <r>
      <rPr>
        <sz val="12"/>
        <rFont val="Century Gothic"/>
        <family val="2"/>
      </rPr>
      <t xml:space="preserve"> </t>
    </r>
    <r>
      <rPr>
        <sz val="12"/>
        <color rgb="FFFF0000"/>
        <rFont val="Century Gothic"/>
        <family val="2"/>
      </rPr>
      <t>NEW</t>
    </r>
    <phoneticPr fontId="3" type="noConversion"/>
  </si>
  <si>
    <r>
      <rPr>
        <sz val="12"/>
        <rFont val="Microsoft JhengHei"/>
        <family val="2"/>
      </rPr>
      <t>分享會餐會</t>
    </r>
    <r>
      <rPr>
        <sz val="12"/>
        <rFont val="Century Gothic"/>
        <family val="2"/>
      </rPr>
      <t>(4</t>
    </r>
    <r>
      <rPr>
        <sz val="12"/>
        <rFont val="Microsoft JhengHei"/>
        <family val="2"/>
      </rPr>
      <t>場次</t>
    </r>
    <r>
      <rPr>
        <sz val="12"/>
        <rFont val="Century Gothic"/>
        <family val="2"/>
      </rPr>
      <t>)</t>
    </r>
    <phoneticPr fontId="3" type="noConversion"/>
  </si>
  <si>
    <t>專業服務費用－其他專業服務費</t>
    <phoneticPr fontId="4" type="noConversion"/>
  </si>
  <si>
    <r>
      <rPr>
        <sz val="12"/>
        <rFont val="微軟正黑體"/>
        <family val="2"/>
        <charset val="136"/>
      </rPr>
      <t>另預計流用</t>
    </r>
    <r>
      <rPr>
        <sz val="12"/>
        <rFont val="Century Gothic"/>
        <family val="2"/>
      </rPr>
      <t>$300</t>
    </r>
    <r>
      <rPr>
        <sz val="12"/>
        <rFont val="微軟正黑體"/>
        <family val="2"/>
        <charset val="136"/>
      </rPr>
      <t>至「</t>
    </r>
    <r>
      <rPr>
        <sz val="12"/>
        <rFont val="Century Gothic"/>
        <family val="2"/>
      </rPr>
      <t xml:space="preserve">91-200 </t>
    </r>
    <r>
      <rPr>
        <sz val="12"/>
        <rFont val="微軟正黑體"/>
        <family val="2"/>
        <charset val="136"/>
      </rPr>
      <t>公會會費」支應「金融科技產業聯盟」會員</t>
    </r>
    <phoneticPr fontId="3" type="noConversion"/>
  </si>
  <si>
    <r>
      <t>AI</t>
    </r>
    <r>
      <rPr>
        <sz val="12"/>
        <color theme="0" tint="-0.249977111117893"/>
        <rFont val="微軟正黑體"/>
        <family val="2"/>
        <charset val="136"/>
      </rPr>
      <t>組</t>
    </r>
    <r>
      <rPr>
        <sz val="12"/>
        <color theme="0" tint="-0.249977111117893"/>
        <rFont val="Century Gothic"/>
        <family val="2"/>
      </rPr>
      <t>/</t>
    </r>
    <r>
      <rPr>
        <sz val="12"/>
        <color theme="0" tint="-0.249977111117893"/>
        <rFont val="微軟正黑體"/>
        <family val="2"/>
        <charset val="136"/>
      </rPr>
      <t>易瑩</t>
    </r>
  </si>
  <si>
    <r>
      <rPr>
        <sz val="12"/>
        <color theme="0" tint="-0.249977111117893"/>
        <rFont val="微軟正黑體"/>
        <family val="2"/>
        <charset val="136"/>
      </rPr>
      <t>朱總指示與</t>
    </r>
    <r>
      <rPr>
        <sz val="12"/>
        <color theme="0" tint="-0.249977111117893"/>
        <rFont val="Century Gothic"/>
        <family val="2"/>
      </rPr>
      <t xml:space="preserve"> MIT </t>
    </r>
    <r>
      <rPr>
        <sz val="12"/>
        <color theme="0" tint="-0.249977111117893"/>
        <rFont val="微軟正黑體"/>
        <family val="2"/>
        <charset val="136"/>
      </rPr>
      <t>教授合作</t>
    </r>
    <r>
      <rPr>
        <sz val="12"/>
        <color theme="0" tint="-0.249977111117893"/>
        <rFont val="Century Gothic"/>
        <family val="2"/>
      </rPr>
      <t>10,000(</t>
    </r>
    <r>
      <rPr>
        <sz val="12"/>
        <color theme="0" tint="-0.249977111117893"/>
        <rFont val="微軟正黑體"/>
        <family val="2"/>
        <charset val="136"/>
      </rPr>
      <t>仟元</t>
    </r>
    <r>
      <rPr>
        <sz val="12"/>
        <color theme="0" tint="-0.249977111117893"/>
        <rFont val="Century Gothic"/>
        <family val="2"/>
      </rPr>
      <t>)</t>
    </r>
    <r>
      <rPr>
        <sz val="12"/>
        <color theme="0" tint="-0.249977111117893"/>
        <rFont val="微軟正黑體"/>
        <family val="2"/>
        <charset val="136"/>
      </rPr>
      <t>，如遇發生再行流用</t>
    </r>
    <phoneticPr fontId="3" type="noConversion"/>
  </si>
  <si>
    <r>
      <rPr>
        <sz val="12"/>
        <rFont val="微軟正黑體"/>
        <family val="2"/>
        <charset val="136"/>
      </rPr>
      <t>《產學合作》成大實驗室</t>
    </r>
  </si>
  <si>
    <r>
      <t>AI</t>
    </r>
    <r>
      <rPr>
        <sz val="12"/>
        <rFont val="微軟正黑體"/>
        <family val="2"/>
        <charset val="136"/>
      </rPr>
      <t>組</t>
    </r>
    <r>
      <rPr>
        <sz val="12"/>
        <rFont val="Century Gothic"/>
        <family val="2"/>
      </rPr>
      <t>/</t>
    </r>
    <r>
      <rPr>
        <sz val="12"/>
        <rFont val="微軟正黑體"/>
        <family val="2"/>
        <charset val="136"/>
      </rPr>
      <t>易瑩</t>
    </r>
  </si>
  <si>
    <t>每年訂閱費+地端建置費 (但最終地端沒有建)</t>
    <phoneticPr fontId="3" type="noConversion"/>
  </si>
  <si>
    <r>
      <rPr>
        <sz val="12"/>
        <rFont val="微軟正黑體"/>
        <family val="2"/>
        <charset val="136"/>
      </rPr>
      <t>《資料源訂閱》爬蟲館資料採購費用</t>
    </r>
  </si>
  <si>
    <r>
      <rPr>
        <sz val="12"/>
        <rFont val="微軟正黑體"/>
        <family val="2"/>
        <charset val="136"/>
      </rPr>
      <t>大數年度合約</t>
    </r>
    <r>
      <rPr>
        <sz val="12"/>
        <rFont val="Century Gothic"/>
        <family val="2"/>
      </rPr>
      <t xml:space="preserve">520K, </t>
    </r>
    <r>
      <rPr>
        <sz val="12"/>
        <rFont val="微軟正黑體"/>
        <family val="2"/>
        <charset val="136"/>
      </rPr>
      <t>實際約</t>
    </r>
    <r>
      <rPr>
        <sz val="12"/>
        <rFont val="Century Gothic"/>
        <family val="2"/>
      </rPr>
      <t>250K</t>
    </r>
  </si>
  <si>
    <r>
      <rPr>
        <b/>
        <sz val="22"/>
        <color theme="8"/>
        <rFont val="微軟正黑體"/>
        <family val="2"/>
        <charset val="136"/>
      </rPr>
      <t>資本支出</t>
    </r>
    <r>
      <rPr>
        <b/>
        <sz val="22"/>
        <color theme="8"/>
        <rFont val="Century Gothic"/>
        <family val="2"/>
      </rPr>
      <t xml:space="preserve"> (</t>
    </r>
    <r>
      <rPr>
        <b/>
        <sz val="22"/>
        <color theme="8"/>
        <rFont val="微軟正黑體"/>
        <family val="2"/>
        <charset val="136"/>
      </rPr>
      <t>編列於資訊處</t>
    </r>
    <r>
      <rPr>
        <b/>
        <sz val="22"/>
        <color theme="8"/>
        <rFont val="Century Gothic"/>
        <family val="2"/>
      </rPr>
      <t>)</t>
    </r>
  </si>
  <si>
    <r>
      <rPr>
        <sz val="12"/>
        <color indexed="9"/>
        <rFont val="微軟正黑體"/>
        <family val="2"/>
        <charset val="136"/>
      </rPr>
      <t>機械及設備－伺服器</t>
    </r>
    <phoneticPr fontId="4" type="noConversion"/>
  </si>
  <si>
    <t>該項預算編列時，直接提報予資訊處數量，並未單一列示</t>
    <phoneticPr fontId="3" type="noConversion"/>
  </si>
  <si>
    <r>
      <rPr>
        <sz val="12"/>
        <rFont val="微軟正黑體"/>
        <family val="2"/>
        <charset val="136"/>
      </rPr>
      <t>資料資產管理平台擴增需求</t>
    </r>
    <r>
      <rPr>
        <sz val="12"/>
        <rFont val="Century Gothic"/>
        <family val="2"/>
      </rPr>
      <t xml:space="preserve"> (</t>
    </r>
    <r>
      <rPr>
        <sz val="12"/>
        <rFont val="微軟正黑體"/>
        <family val="2"/>
        <charset val="136"/>
      </rPr>
      <t>人力</t>
    </r>
    <r>
      <rPr>
        <sz val="12"/>
        <rFont val="Century Gothic"/>
        <family val="2"/>
      </rPr>
      <t>)</t>
    </r>
    <phoneticPr fontId="3" type="noConversion"/>
  </si>
  <si>
    <r>
      <t>8,800 x 170</t>
    </r>
    <r>
      <rPr>
        <sz val="12"/>
        <rFont val="微軟正黑體"/>
        <family val="2"/>
        <charset val="136"/>
      </rPr>
      <t>人天</t>
    </r>
    <phoneticPr fontId="3" type="noConversion"/>
  </si>
  <si>
    <r>
      <t>Pentaho</t>
    </r>
    <r>
      <rPr>
        <sz val="12"/>
        <color theme="0" tint="-0.249977111117893"/>
        <rFont val="微軟正黑體"/>
        <family val="2"/>
        <charset val="136"/>
      </rPr>
      <t>工具</t>
    </r>
    <r>
      <rPr>
        <sz val="12"/>
        <color theme="0" tint="-0.249977111117893"/>
        <rFont val="Century Gothic"/>
        <family val="2"/>
      </rPr>
      <t>ETL</t>
    </r>
    <r>
      <rPr>
        <sz val="12"/>
        <color theme="0" tint="-0.249977111117893"/>
        <rFont val="微軟正黑體"/>
        <family val="2"/>
        <charset val="136"/>
      </rPr>
      <t>作業優化</t>
    </r>
    <r>
      <rPr>
        <sz val="12"/>
        <color theme="0" tint="-0.249977111117893"/>
        <rFont val="Century Gothic"/>
        <family val="2"/>
      </rPr>
      <t xml:space="preserve"> (</t>
    </r>
    <r>
      <rPr>
        <sz val="12"/>
        <color theme="0" tint="-0.249977111117893"/>
        <rFont val="微軟正黑體"/>
        <family val="2"/>
        <charset val="136"/>
      </rPr>
      <t>人力</t>
    </r>
    <r>
      <rPr>
        <sz val="12"/>
        <color theme="0" tint="-0.249977111117893"/>
        <rFont val="Century Gothic"/>
        <family val="2"/>
      </rPr>
      <t>) NEW</t>
    </r>
    <phoneticPr fontId="3" type="noConversion"/>
  </si>
  <si>
    <r>
      <rPr>
        <sz val="12"/>
        <color theme="0" tint="-0.249977111117893"/>
        <rFont val="微軟正黑體"/>
        <family val="2"/>
        <charset val="136"/>
      </rPr>
      <t>數據組</t>
    </r>
    <r>
      <rPr>
        <sz val="12"/>
        <color theme="0" tint="-0.249977111117893"/>
        <rFont val="Century Gothic"/>
        <family val="2"/>
      </rPr>
      <t>/Justin</t>
    </r>
  </si>
  <si>
    <r>
      <t>8,200 x 60</t>
    </r>
    <r>
      <rPr>
        <sz val="12"/>
        <color theme="0" tint="-0.249977111117893"/>
        <rFont val="微軟正黑體"/>
        <family val="2"/>
        <charset val="136"/>
      </rPr>
      <t>人天</t>
    </r>
    <phoneticPr fontId="3" type="noConversion"/>
  </si>
  <si>
    <r>
      <t>5,400 x 120</t>
    </r>
    <r>
      <rPr>
        <sz val="12"/>
        <rFont val="微軟正黑體"/>
        <family val="2"/>
        <charset val="136"/>
      </rPr>
      <t>人天</t>
    </r>
    <phoneticPr fontId="3" type="noConversion"/>
  </si>
  <si>
    <r>
      <t>Tableau Server</t>
    </r>
    <r>
      <rPr>
        <sz val="12"/>
        <rFont val="微軟正黑體"/>
        <family val="2"/>
        <charset val="136"/>
      </rPr>
      <t>平台自動化進階功能</t>
    </r>
    <r>
      <rPr>
        <sz val="12"/>
        <rFont val="Century Gothic"/>
        <family val="2"/>
      </rPr>
      <t xml:space="preserve"> (</t>
    </r>
    <r>
      <rPr>
        <sz val="12"/>
        <rFont val="微軟正黑體"/>
        <family val="2"/>
        <charset val="136"/>
      </rPr>
      <t>人力</t>
    </r>
    <r>
      <rPr>
        <sz val="12"/>
        <rFont val="Century Gothic"/>
        <family val="2"/>
      </rPr>
      <t>)</t>
    </r>
    <phoneticPr fontId="3" type="noConversion"/>
  </si>
  <si>
    <r>
      <t>12,600 x 100</t>
    </r>
    <r>
      <rPr>
        <sz val="12"/>
        <rFont val="微軟正黑體"/>
        <family val="2"/>
        <charset val="136"/>
      </rPr>
      <t>人天</t>
    </r>
    <phoneticPr fontId="3" type="noConversion"/>
  </si>
  <si>
    <r>
      <rPr>
        <sz val="12"/>
        <rFont val="微軟正黑體"/>
        <family val="2"/>
        <charset val="136"/>
      </rPr>
      <t>金控統籌資料共享專案</t>
    </r>
    <r>
      <rPr>
        <sz val="12"/>
        <rFont val="Century Gothic"/>
        <family val="2"/>
      </rPr>
      <t>_</t>
    </r>
    <r>
      <rPr>
        <sz val="12"/>
        <rFont val="微軟正黑體"/>
        <family val="2"/>
        <charset val="136"/>
      </rPr>
      <t>法人線下案</t>
    </r>
    <r>
      <rPr>
        <sz val="12"/>
        <rFont val="Century Gothic"/>
        <family val="2"/>
      </rPr>
      <t>_</t>
    </r>
    <r>
      <rPr>
        <sz val="12"/>
        <rFont val="微軟正黑體"/>
        <family val="2"/>
        <charset val="136"/>
      </rPr>
      <t>金控分攤</t>
    </r>
    <r>
      <rPr>
        <sz val="12"/>
        <rFont val="Century Gothic"/>
        <family val="2"/>
      </rPr>
      <t xml:space="preserve"> </t>
    </r>
    <r>
      <rPr>
        <sz val="12"/>
        <color rgb="FFFF0000"/>
        <rFont val="Century Gothic"/>
        <family val="2"/>
      </rPr>
      <t>NEW</t>
    </r>
    <phoneticPr fontId="3" type="noConversion"/>
  </si>
  <si>
    <r>
      <t xml:space="preserve"> </t>
    </r>
    <r>
      <rPr>
        <sz val="12"/>
        <rFont val="微軟正黑體"/>
        <family val="2"/>
        <charset val="136"/>
      </rPr>
      <t>《法人</t>
    </r>
    <r>
      <rPr>
        <sz val="12"/>
        <rFont val="Century Gothic"/>
        <family val="2"/>
      </rPr>
      <t>_</t>
    </r>
    <r>
      <rPr>
        <sz val="12"/>
        <rFont val="微軟正黑體"/>
        <family val="2"/>
        <charset val="136"/>
      </rPr>
      <t>線下案》全案建置費用</t>
    </r>
    <r>
      <rPr>
        <sz val="12"/>
        <rFont val="Century Gothic"/>
        <family val="2"/>
      </rPr>
      <t xml:space="preserve"> </t>
    </r>
    <r>
      <rPr>
        <sz val="12"/>
        <rFont val="微軟正黑體"/>
        <family val="2"/>
        <charset val="136"/>
      </rPr>
      <t>約</t>
    </r>
    <r>
      <rPr>
        <sz val="12"/>
        <rFont val="Century Gothic"/>
        <family val="2"/>
      </rPr>
      <t>$150</t>
    </r>
    <r>
      <rPr>
        <sz val="12"/>
        <rFont val="微軟正黑體"/>
        <family val="2"/>
        <charset val="136"/>
      </rPr>
      <t>萬元</t>
    </r>
    <phoneticPr fontId="3" type="noConversion"/>
  </si>
  <si>
    <r>
      <t xml:space="preserve">Appier </t>
    </r>
    <r>
      <rPr>
        <sz val="12"/>
        <color theme="0" tint="-0.249977111117893"/>
        <rFont val="微軟正黑體"/>
        <family val="2"/>
        <charset val="136"/>
      </rPr>
      <t>標籤專案</t>
    </r>
    <phoneticPr fontId="3" type="noConversion"/>
  </si>
  <si>
    <r>
      <t>2024</t>
    </r>
    <r>
      <rPr>
        <b/>
        <sz val="22"/>
        <color theme="1"/>
        <rFont val="微軟正黑體"/>
        <family val="2"/>
        <charset val="136"/>
      </rPr>
      <t>年度數位科技處預算刪減試算</t>
    </r>
    <phoneticPr fontId="3" type="noConversion"/>
  </si>
  <si>
    <r>
      <rPr>
        <b/>
        <sz val="16"/>
        <color theme="0"/>
        <rFont val="微軟正黑體"/>
        <family val="2"/>
        <charset val="136"/>
      </rPr>
      <t>版
本
一</t>
    </r>
    <phoneticPr fontId="3" type="noConversion"/>
  </si>
  <si>
    <r>
      <rPr>
        <sz val="16"/>
        <color theme="1"/>
        <rFont val="微軟正黑體"/>
        <family val="2"/>
        <charset val="136"/>
      </rPr>
      <t>原始預算</t>
    </r>
    <phoneticPr fontId="3" type="noConversion"/>
  </si>
  <si>
    <t>約82折</t>
    <phoneticPr fontId="3" type="noConversion"/>
  </si>
  <si>
    <r>
      <rPr>
        <sz val="16"/>
        <color theme="1"/>
        <rFont val="微軟正黑體"/>
        <family val="2"/>
        <charset val="136"/>
      </rPr>
      <t>差異值</t>
    </r>
    <phoneticPr fontId="3" type="noConversion"/>
  </si>
  <si>
    <r>
      <rPr>
        <sz val="12"/>
        <color theme="1"/>
        <rFont val="微軟正黑體"/>
        <family val="2"/>
        <charset val="136"/>
      </rPr>
      <t>自動化設備費用－自動化設備系統</t>
    </r>
    <r>
      <rPr>
        <sz val="12"/>
        <color theme="1"/>
        <rFont val="Century Gothic"/>
        <family val="2"/>
      </rPr>
      <t>/</t>
    </r>
    <r>
      <rPr>
        <sz val="12"/>
        <color theme="1"/>
        <rFont val="微軟正黑體"/>
        <family val="2"/>
        <charset val="136"/>
      </rPr>
      <t>軟體使用費</t>
    </r>
  </si>
  <si>
    <t>Ú</t>
    <phoneticPr fontId="3" type="noConversion"/>
  </si>
  <si>
    <r>
      <rPr>
        <sz val="16"/>
        <color theme="1"/>
        <rFont val="微軟正黑體"/>
        <family val="2"/>
        <charset val="136"/>
      </rPr>
      <t>折數</t>
    </r>
    <phoneticPr fontId="3" type="noConversion"/>
  </si>
  <si>
    <r>
      <rPr>
        <sz val="16"/>
        <color theme="1"/>
        <rFont val="微軟正黑體"/>
        <family val="2"/>
        <charset val="136"/>
      </rPr>
      <t>刪減後</t>
    </r>
    <phoneticPr fontId="3" type="noConversion"/>
  </si>
  <si>
    <r>
      <rPr>
        <sz val="16"/>
        <color theme="1"/>
        <rFont val="微軟正黑體"/>
        <family val="2"/>
        <charset val="136"/>
      </rPr>
      <t>差額</t>
    </r>
    <phoneticPr fontId="3" type="noConversion"/>
  </si>
  <si>
    <r>
      <rPr>
        <sz val="12"/>
        <color theme="1"/>
        <rFont val="微軟正黑體"/>
        <family val="2"/>
        <charset val="136"/>
      </rPr>
      <t>業務推廣費－媒體廣告費</t>
    </r>
    <phoneticPr fontId="3" type="noConversion"/>
  </si>
  <si>
    <r>
      <t>9</t>
    </r>
    <r>
      <rPr>
        <b/>
        <sz val="20"/>
        <color rgb="FFFF0000"/>
        <rFont val="微軟正黑體"/>
        <family val="2"/>
        <charset val="136"/>
      </rPr>
      <t>折</t>
    </r>
    <phoneticPr fontId="3" type="noConversion"/>
  </si>
  <si>
    <r>
      <rPr>
        <sz val="12"/>
        <color theme="1"/>
        <rFont val="微軟正黑體"/>
        <family val="2"/>
        <charset val="136"/>
      </rPr>
      <t>業務推廣費－專案推廣費</t>
    </r>
    <phoneticPr fontId="3" type="noConversion"/>
  </si>
  <si>
    <r>
      <rPr>
        <sz val="12"/>
        <color theme="1"/>
        <rFont val="微軟正黑體"/>
        <family val="2"/>
        <charset val="136"/>
      </rPr>
      <t>專業服務費用－顧問費</t>
    </r>
  </si>
  <si>
    <r>
      <rPr>
        <sz val="12"/>
        <color theme="1"/>
        <rFont val="微軟正黑體"/>
        <family val="2"/>
        <charset val="136"/>
      </rPr>
      <t>專業服務費用－其他專業服務費</t>
    </r>
  </si>
  <si>
    <r>
      <rPr>
        <sz val="12"/>
        <color theme="1"/>
        <rFont val="微軟正黑體"/>
        <family val="2"/>
        <charset val="136"/>
      </rPr>
      <t>小計</t>
    </r>
    <phoneticPr fontId="3" type="noConversion"/>
  </si>
  <si>
    <r>
      <rPr>
        <b/>
        <sz val="16"/>
        <color theme="0"/>
        <rFont val="微軟正黑體"/>
        <family val="2"/>
        <charset val="136"/>
      </rPr>
      <t>版
本
二</t>
    </r>
    <phoneticPr fontId="3" type="noConversion"/>
  </si>
  <si>
    <t>約64折</t>
    <phoneticPr fontId="3" type="noConversion"/>
  </si>
  <si>
    <r>
      <t>8</t>
    </r>
    <r>
      <rPr>
        <b/>
        <sz val="18"/>
        <color rgb="FFFF0000"/>
        <rFont val="微軟正黑體"/>
        <family val="2"/>
        <charset val="136"/>
      </rPr>
      <t>折</t>
    </r>
    <phoneticPr fontId="3" type="noConversion"/>
  </si>
  <si>
    <r>
      <rPr>
        <b/>
        <sz val="16"/>
        <color theme="0"/>
        <rFont val="微軟正黑體"/>
        <family val="2"/>
        <charset val="136"/>
      </rPr>
      <t>版
本
三</t>
    </r>
    <phoneticPr fontId="3" type="noConversion"/>
  </si>
  <si>
    <r>
      <rPr>
        <sz val="16"/>
        <color rgb="FFFF0000"/>
        <rFont val="微軟正黑體"/>
        <family val="2"/>
        <charset val="136"/>
      </rPr>
      <t>約46折</t>
    </r>
    <phoneticPr fontId="3" type="noConversion"/>
  </si>
  <si>
    <t>原始預算</t>
    <phoneticPr fontId="3" type="noConversion"/>
  </si>
  <si>
    <r>
      <t>7</t>
    </r>
    <r>
      <rPr>
        <b/>
        <sz val="22"/>
        <color rgb="FFFF0000"/>
        <rFont val="微軟正黑體"/>
        <family val="2"/>
        <charset val="136"/>
      </rPr>
      <t>折</t>
    </r>
    <phoneticPr fontId="3" type="noConversion"/>
  </si>
  <si>
    <t>版
本
四</t>
    <phoneticPr fontId="3" type="noConversion"/>
  </si>
  <si>
    <r>
      <rPr>
        <sz val="16"/>
        <color rgb="FFFF0000"/>
        <rFont val="微軟正黑體"/>
        <family val="2"/>
        <charset val="136"/>
      </rPr>
      <t>約6折</t>
    </r>
    <phoneticPr fontId="3" type="noConversion"/>
  </si>
  <si>
    <r>
      <t>78</t>
    </r>
    <r>
      <rPr>
        <b/>
        <sz val="22"/>
        <color rgb="FFFF0000"/>
        <rFont val="微軟正黑體"/>
        <family val="2"/>
        <charset val="136"/>
      </rPr>
      <t>折</t>
    </r>
    <phoneticPr fontId="3" type="noConversion"/>
  </si>
  <si>
    <t>版
本
五</t>
    <phoneticPr fontId="3" type="noConversion"/>
  </si>
  <si>
    <t>11.07組長會議決議預算</t>
    <phoneticPr fontId="3" type="noConversion"/>
  </si>
  <si>
    <t>調整後預算</t>
    <phoneticPr fontId="3" type="noConversion"/>
  </si>
  <si>
    <t>最新</t>
    <phoneticPr fontId="3" type="noConversion"/>
  </si>
  <si>
    <r>
      <t>62</t>
    </r>
    <r>
      <rPr>
        <b/>
        <sz val="22"/>
        <color rgb="FFFF0000"/>
        <rFont val="微軟正黑體"/>
        <family val="2"/>
        <charset val="136"/>
      </rPr>
      <t>折</t>
    </r>
    <phoneticPr fontId="3" type="noConversion"/>
  </si>
  <si>
    <t>業務推廣費－專案推廣費</t>
    <phoneticPr fontId="3" type="noConversion"/>
  </si>
  <si>
    <r>
      <rPr>
        <sz val="12"/>
        <color theme="1"/>
        <rFont val="微軟正黑體"/>
        <family val="2"/>
        <charset val="136"/>
      </rPr>
      <t>含</t>
    </r>
    <r>
      <rPr>
        <sz val="12"/>
        <color theme="1"/>
        <rFont val="Century Gothic"/>
        <family val="2"/>
      </rPr>
      <t>$600</t>
    </r>
    <r>
      <rPr>
        <sz val="12"/>
        <color theme="1"/>
        <rFont val="微軟正黑體"/>
        <family val="2"/>
        <charset val="136"/>
      </rPr>
      <t>國內交際費調整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</si>
</sst>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8" formatCode="&quot;$&quot;#,##0.00_);[Red]\(&quot;$&quot;#,##0.00\)"/>
    <numFmt numFmtId="164" formatCode="&quot;$&quot;#,##0;[Red]\-&quot;$&quot;#,##0"/>
    <numFmt numFmtId="165" formatCode="_-&quot;$&quot;* #,##0.00_-;\-&quot;$&quot;* #,##0.00_-;_-&quot;$&quot;* &quot;-&quot;??_-;_-@_-"/>
    <numFmt numFmtId="166" formatCode="_-&quot;$&quot;* #,##0_-;\-&quot;$&quot;* #,##0_-;_-&quot;$&quot;* &quot;-&quot;??_-;_-@_-"/>
    <numFmt numFmtId="167" formatCode="0.0%"/>
    <numFmt numFmtId="168" formatCode="#,##0_ "/>
    <numFmt numFmtId="169" formatCode="&quot;$&quot;#,##0.000_);[Red]\(&quot;$&quot;#,##0.000\)"/>
  </numFmts>
  <fonts count="97">
    <font>
      <sz val="11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color indexed="81"/>
      <name val="Tahoma"/>
      <family val="2"/>
    </font>
    <font>
      <sz val="11"/>
      <color theme="1"/>
      <name val="Century Gothic"/>
      <family val="2"/>
    </font>
    <font>
      <sz val="12"/>
      <color theme="1"/>
      <name val="Century Gothic"/>
      <family val="2"/>
    </font>
    <font>
      <sz val="36"/>
      <name val="微軟正黑體"/>
      <family val="2"/>
      <charset val="136"/>
    </font>
    <font>
      <sz val="20"/>
      <name val="微軟正黑體"/>
      <family val="2"/>
      <charset val="136"/>
    </font>
    <font>
      <sz val="12"/>
      <color indexed="9"/>
      <name val="微軟正黑體"/>
      <family val="2"/>
      <charset val="136"/>
    </font>
    <font>
      <sz val="12"/>
      <name val="細明體"/>
      <family val="3"/>
      <charset val="136"/>
    </font>
    <font>
      <sz val="12"/>
      <name val="微軟正黑體"/>
      <family val="2"/>
      <charset val="136"/>
    </font>
    <font>
      <b/>
      <sz val="10"/>
      <color indexed="81"/>
      <name val="微軟正黑體"/>
      <family val="2"/>
      <charset val="136"/>
    </font>
    <font>
      <b/>
      <sz val="9"/>
      <color indexed="81"/>
      <name val="微軟正黑體"/>
      <family val="2"/>
      <charset val="136"/>
    </font>
    <font>
      <b/>
      <sz val="12"/>
      <color indexed="8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2"/>
      <color theme="0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6"/>
      <color theme="0"/>
      <name val="微軟正黑體"/>
      <family val="2"/>
      <charset val="136"/>
    </font>
    <font>
      <b/>
      <sz val="22"/>
      <color theme="8"/>
      <name val="微軟正黑體"/>
      <family val="2"/>
      <charset val="136"/>
    </font>
    <font>
      <sz val="11"/>
      <color theme="1"/>
      <name val="Wingdings 3"/>
      <family val="1"/>
      <charset val="2"/>
    </font>
    <font>
      <sz val="18"/>
      <color theme="1"/>
      <name val="Century Gothic"/>
      <family val="2"/>
    </font>
    <font>
      <sz val="16"/>
      <color theme="1"/>
      <name val="Century Gothic"/>
      <family val="2"/>
    </font>
    <font>
      <sz val="16"/>
      <color theme="1"/>
      <name val="微軟正黑體"/>
      <family val="2"/>
      <charset val="136"/>
    </font>
    <font>
      <b/>
      <sz val="16"/>
      <color theme="0"/>
      <name val="微軟正黑體"/>
      <family val="2"/>
      <charset val="136"/>
    </font>
    <font>
      <b/>
      <sz val="16"/>
      <color theme="0"/>
      <name val="Century Gothic"/>
      <family val="2"/>
    </font>
    <font>
      <sz val="16"/>
      <color rgb="FFFF0000"/>
      <name val="微軟正黑體"/>
      <family val="2"/>
      <charset val="136"/>
    </font>
    <font>
      <b/>
      <sz val="22"/>
      <color rgb="FFFF0000"/>
      <name val="微軟正黑體"/>
      <family val="2"/>
      <charset val="136"/>
    </font>
    <font>
      <b/>
      <sz val="18"/>
      <color rgb="FFFF0000"/>
      <name val="微軟正黑體"/>
      <family val="2"/>
      <charset val="136"/>
    </font>
    <font>
      <b/>
      <sz val="28"/>
      <color rgb="FFFF0000"/>
      <name val="Century Gothic"/>
      <family val="2"/>
    </font>
    <font>
      <b/>
      <sz val="22"/>
      <color theme="1"/>
      <name val="Century Gothic"/>
      <family val="2"/>
    </font>
    <font>
      <b/>
      <sz val="22"/>
      <color theme="1"/>
      <name val="微軟正黑體"/>
      <family val="2"/>
      <charset val="136"/>
    </font>
    <font>
      <b/>
      <sz val="16"/>
      <color rgb="FFFF0000"/>
      <name val="微軟正黑體"/>
      <family val="2"/>
      <charset val="136"/>
    </font>
    <font>
      <sz val="18"/>
      <color rgb="FFFF0000"/>
      <name val="Century Gothic"/>
      <family val="2"/>
    </font>
    <font>
      <sz val="18"/>
      <name val="Century Gothic"/>
      <family val="2"/>
    </font>
    <font>
      <sz val="36"/>
      <name val="Century Gothic"/>
      <family val="2"/>
    </font>
    <font>
      <sz val="28"/>
      <color theme="0"/>
      <name val="Century Gothic"/>
      <family val="2"/>
    </font>
    <font>
      <sz val="12"/>
      <color indexed="9"/>
      <name val="Century Gothic"/>
      <family val="2"/>
    </font>
    <font>
      <sz val="12"/>
      <color theme="0"/>
      <name val="Century Gothic"/>
      <family val="2"/>
    </font>
    <font>
      <sz val="12"/>
      <name val="Century Gothic"/>
      <family val="2"/>
    </font>
    <font>
      <b/>
      <sz val="22"/>
      <color theme="8"/>
      <name val="Century Gothic"/>
      <family val="2"/>
    </font>
    <font>
      <sz val="16"/>
      <color theme="0"/>
      <name val="Century Gothic"/>
      <family val="2"/>
    </font>
    <font>
      <sz val="12"/>
      <color theme="1" tint="0.499984740745262"/>
      <name val="Century Gothic"/>
      <family val="2"/>
    </font>
    <font>
      <sz val="28"/>
      <name val="Century Gothic"/>
      <family val="2"/>
    </font>
    <font>
      <sz val="16"/>
      <name val="Century Gothic"/>
      <family val="2"/>
    </font>
    <font>
      <sz val="12"/>
      <color rgb="FFFFFFFF"/>
      <name val="微軟正黑體"/>
      <family val="2"/>
      <charset val="136"/>
    </font>
    <font>
      <sz val="12"/>
      <color rgb="FFFF0000"/>
      <name val="Century Gothic"/>
      <family val="2"/>
    </font>
    <font>
      <sz val="20"/>
      <name val="Century Gothic"/>
      <family val="2"/>
    </font>
    <font>
      <sz val="14"/>
      <name val="Century Gothic"/>
      <family val="2"/>
    </font>
    <font>
      <b/>
      <sz val="20"/>
      <color theme="0"/>
      <name val="Century Gothic"/>
      <family val="2"/>
    </font>
    <font>
      <b/>
      <sz val="20"/>
      <color theme="0"/>
      <name val="微軟正黑體"/>
      <family val="2"/>
      <charset val="136"/>
    </font>
    <font>
      <b/>
      <sz val="20"/>
      <color theme="1" tint="0.34998626667073579"/>
      <name val="Century Gothic"/>
      <family val="2"/>
    </font>
    <font>
      <b/>
      <sz val="20"/>
      <color theme="1" tint="0.34998626667073579"/>
      <name val="微軟正黑體"/>
      <family val="2"/>
      <charset val="136"/>
    </font>
    <font>
      <b/>
      <sz val="12"/>
      <color theme="1" tint="0.34998626667073579"/>
      <name val="Century Gothic"/>
      <family val="2"/>
    </font>
    <font>
      <b/>
      <sz val="12"/>
      <color theme="1" tint="0.34998626667073579"/>
      <name val="微軟正黑體"/>
      <family val="2"/>
      <charset val="136"/>
    </font>
    <font>
      <sz val="36"/>
      <color theme="1" tint="0.34998626667073579"/>
      <name val="Century Gothic"/>
      <family val="2"/>
    </font>
    <font>
      <sz val="36"/>
      <color theme="1" tint="0.34998626667073579"/>
      <name val="微軟正黑體"/>
      <family val="2"/>
      <charset val="136"/>
    </font>
    <font>
      <sz val="20"/>
      <color theme="1" tint="0.34998626667073579"/>
      <name val="Century Gothic"/>
      <family val="2"/>
    </font>
    <font>
      <sz val="14"/>
      <color theme="1" tint="0.34998626667073579"/>
      <name val="Century Gothic"/>
      <family val="2"/>
    </font>
    <font>
      <sz val="14"/>
      <color theme="1" tint="0.34998626667073579"/>
      <name val="微軟正黑體"/>
      <family val="2"/>
      <charset val="136"/>
    </font>
    <font>
      <sz val="12"/>
      <color rgb="FFFFFFFF"/>
      <name val="Century Gothic"/>
      <family val="2"/>
    </font>
    <font>
      <sz val="12"/>
      <color theme="0" tint="-0.249977111117893"/>
      <name val="Century Gothic"/>
      <family val="2"/>
    </font>
    <font>
      <sz val="12"/>
      <color theme="0" tint="-0.249977111117893"/>
      <name val="微軟正黑體"/>
      <family val="2"/>
      <charset val="136"/>
    </font>
    <font>
      <sz val="12"/>
      <name val="Century Gothic"/>
      <family val="2"/>
      <charset val="136"/>
    </font>
    <font>
      <sz val="12"/>
      <color theme="0" tint="-0.249977111117893"/>
      <name val="Century Gothic"/>
      <family val="2"/>
      <charset val="136"/>
    </font>
    <font>
      <sz val="12"/>
      <color rgb="FFFF0000"/>
      <name val="微軟正黑體"/>
      <family val="2"/>
      <charset val="136"/>
    </font>
    <font>
      <u/>
      <sz val="11"/>
      <color theme="10"/>
      <name val="新細明體"/>
      <family val="2"/>
      <scheme val="minor"/>
    </font>
    <font>
      <b/>
      <sz val="16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1"/>
      <color theme="0" tint="-0.499984740745262"/>
      <name val="微軟正黑體"/>
      <family val="2"/>
      <charset val="136"/>
    </font>
    <font>
      <sz val="11"/>
      <name val="Century Gothic"/>
      <family val="2"/>
    </font>
    <font>
      <sz val="11"/>
      <name val="微軟正黑體"/>
      <family val="2"/>
      <charset val="136"/>
    </font>
    <font>
      <b/>
      <sz val="16"/>
      <color theme="1"/>
      <name val="Century Gothic"/>
      <family val="2"/>
    </font>
    <font>
      <sz val="11"/>
      <color theme="0" tint="-0.499984740745262"/>
      <name val="Century Gothic"/>
      <family val="2"/>
    </font>
    <font>
      <sz val="12"/>
      <color rgb="FF0000FF"/>
      <name val="Century Gothic"/>
      <family val="2"/>
    </font>
    <font>
      <b/>
      <sz val="16"/>
      <color theme="1"/>
      <name val="Century Gothic"/>
      <family val="2"/>
      <charset val="136"/>
    </font>
    <font>
      <u/>
      <sz val="12"/>
      <color theme="10"/>
      <name val="微軟正黑體"/>
      <family val="2"/>
      <charset val="136"/>
    </font>
    <font>
      <u/>
      <sz val="12"/>
      <color theme="10"/>
      <name val="Century Gothic"/>
      <family val="2"/>
    </font>
    <font>
      <sz val="11"/>
      <color theme="1"/>
      <name val="Century Gothic"/>
      <family val="2"/>
      <charset val="136"/>
    </font>
    <font>
      <sz val="11"/>
      <color theme="0" tint="-0.499984740745262"/>
      <name val="Century Gothic"/>
      <family val="2"/>
      <charset val="136"/>
    </font>
    <font>
      <sz val="12"/>
      <color theme="0" tint="-0.34998626667073579"/>
      <name val="Century Gothic"/>
      <family val="2"/>
    </font>
    <font>
      <sz val="22"/>
      <color theme="8"/>
      <name val="Century Gothic"/>
      <family val="2"/>
    </font>
    <font>
      <sz val="18"/>
      <name val="微軟正黑體"/>
      <family val="2"/>
      <charset val="136"/>
    </font>
    <font>
      <sz val="12"/>
      <color indexed="9"/>
      <name val="Century Gothic"/>
      <family val="2"/>
      <charset val="136"/>
    </font>
    <font>
      <sz val="12"/>
      <name val="Microsoft JhengHei"/>
      <family val="2"/>
    </font>
    <font>
      <sz val="12"/>
      <color theme="1"/>
      <name val="Century Gothic"/>
      <family val="2"/>
      <charset val="136"/>
    </font>
    <font>
      <sz val="12"/>
      <color theme="1"/>
      <name val="Microsoft JhengHei"/>
      <family val="2"/>
    </font>
    <font>
      <sz val="12"/>
      <color theme="1"/>
      <name val="Microsoft JhengHei"/>
      <family val="2"/>
      <charset val="136"/>
    </font>
    <font>
      <sz val="12"/>
      <name val="Microsoft JhengHei"/>
      <family val="2"/>
      <charset val="136"/>
    </font>
    <font>
      <b/>
      <sz val="16"/>
      <color rgb="FFFF0000"/>
      <name val="Century Gothic"/>
      <family val="2"/>
    </font>
    <font>
      <sz val="12"/>
      <color rgb="FF0000FF"/>
      <name val="微軟正黑體"/>
      <family val="2"/>
      <charset val="136"/>
    </font>
    <font>
      <sz val="12"/>
      <color rgb="FF0000FF"/>
      <name val="Century Gothic"/>
      <family val="2"/>
      <charset val="136"/>
    </font>
    <font>
      <sz val="12"/>
      <color rgb="FF0000FF"/>
      <name val="Microsoft JhengHei"/>
      <family val="2"/>
    </font>
  </fonts>
  <fills count="1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medium">
        <color theme="0"/>
      </top>
      <bottom style="thin">
        <color theme="0"/>
      </bottom>
      <diagonal/>
    </border>
    <border>
      <left/>
      <right style="thin">
        <color theme="0"/>
      </right>
      <top style="medium">
        <color theme="0"/>
      </top>
      <bottom style="thin">
        <color theme="0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FF0000"/>
      </right>
      <top style="thin">
        <color theme="0"/>
      </top>
      <bottom style="thin">
        <color theme="0"/>
      </bottom>
      <diagonal/>
    </border>
    <border>
      <left style="thin">
        <color rgb="FFFF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0000"/>
      </left>
      <right style="thin">
        <color theme="0"/>
      </right>
      <top style="thin">
        <color theme="0"/>
      </top>
      <bottom style="thin">
        <color rgb="FFFF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FF0000"/>
      </bottom>
      <diagonal/>
    </border>
    <border>
      <left style="thin">
        <color theme="0"/>
      </left>
      <right style="thin">
        <color rgb="FFFF0000"/>
      </right>
      <top style="thin">
        <color theme="0"/>
      </top>
      <bottom style="thin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165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5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7" fontId="12" fillId="0" borderId="0"/>
    <xf numFmtId="165" fontId="5" fillId="0" borderId="0" applyFont="0" applyFill="0" applyBorder="0" applyAlignment="0" applyProtection="0"/>
    <xf numFmtId="0" fontId="70" fillId="0" borderId="0" applyNumberFormat="0" applyFill="0" applyBorder="0" applyAlignment="0" applyProtection="0"/>
  </cellStyleXfs>
  <cellXfs count="298">
    <xf numFmtId="0" fontId="0" fillId="0" borderId="0" xfId="0"/>
    <xf numFmtId="0" fontId="7" fillId="0" borderId="0" xfId="0" applyFont="1" applyAlignment="1">
      <alignment horizontal="center" vertical="center"/>
    </xf>
    <xf numFmtId="6" fontId="25" fillId="0" borderId="0" xfId="1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6" fontId="25" fillId="5" borderId="0" xfId="1" applyNumberFormat="1" applyFont="1" applyFill="1" applyAlignment="1">
      <alignment horizontal="center" vertical="center"/>
    </xf>
    <xf numFmtId="0" fontId="24" fillId="5" borderId="0" xfId="0" applyFont="1" applyFill="1" applyAlignment="1">
      <alignment horizontal="center" vertical="center"/>
    </xf>
    <xf numFmtId="0" fontId="26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6" fontId="25" fillId="8" borderId="0" xfId="1" applyNumberFormat="1" applyFont="1" applyFill="1" applyAlignment="1">
      <alignment horizontal="center" vertical="center"/>
    </xf>
    <xf numFmtId="6" fontId="25" fillId="0" borderId="0" xfId="1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9" fillId="0" borderId="0" xfId="0" applyFont="1" applyAlignment="1">
      <alignment vertical="center"/>
    </xf>
    <xf numFmtId="0" fontId="8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left" vertical="center"/>
    </xf>
    <xf numFmtId="0" fontId="27" fillId="5" borderId="0" xfId="0" applyFont="1" applyFill="1" applyAlignment="1">
      <alignment horizontal="center" vertical="center"/>
    </xf>
    <xf numFmtId="0" fontId="30" fillId="5" borderId="0" xfId="0" applyFont="1" applyFill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6" fontId="25" fillId="5" borderId="0" xfId="1" applyNumberFormat="1" applyFont="1" applyFill="1" applyBorder="1" applyAlignment="1">
      <alignment horizontal="center" vertical="center"/>
    </xf>
    <xf numFmtId="6" fontId="25" fillId="8" borderId="0" xfId="1" applyNumberFormat="1" applyFont="1" applyFill="1" applyBorder="1" applyAlignment="1">
      <alignment horizontal="center" vertical="center"/>
    </xf>
    <xf numFmtId="6" fontId="25" fillId="0" borderId="0" xfId="1" applyNumberFormat="1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6" fontId="37" fillId="5" borderId="0" xfId="1" applyNumberFormat="1" applyFont="1" applyFill="1" applyBorder="1" applyAlignment="1">
      <alignment horizontal="center" vertical="center"/>
    </xf>
    <xf numFmtId="6" fontId="37" fillId="0" borderId="0" xfId="1" applyNumberFormat="1" applyFont="1" applyFill="1" applyBorder="1" applyAlignment="1">
      <alignment horizontal="center" vertical="center"/>
    </xf>
    <xf numFmtId="6" fontId="38" fillId="5" borderId="0" xfId="1" applyNumberFormat="1" applyFont="1" applyFill="1" applyBorder="1" applyAlignment="1">
      <alignment horizontal="center" vertical="center"/>
    </xf>
    <xf numFmtId="6" fontId="38" fillId="0" borderId="0" xfId="1" applyNumberFormat="1" applyFont="1" applyFill="1" applyBorder="1" applyAlignment="1">
      <alignment horizontal="center" vertical="center"/>
    </xf>
    <xf numFmtId="0" fontId="43" fillId="0" borderId="0" xfId="3" applyFont="1"/>
    <xf numFmtId="0" fontId="43" fillId="0" borderId="0" xfId="3" applyFont="1" applyAlignment="1">
      <alignment horizontal="center" vertical="center"/>
    </xf>
    <xf numFmtId="0" fontId="43" fillId="0" borderId="0" xfId="3" applyFont="1" applyAlignment="1">
      <alignment vertical="center"/>
    </xf>
    <xf numFmtId="6" fontId="43" fillId="0" borderId="0" xfId="3" applyNumberFormat="1" applyFont="1" applyAlignment="1">
      <alignment horizontal="right" vertical="center"/>
    </xf>
    <xf numFmtId="0" fontId="43" fillId="0" borderId="0" xfId="3" applyFont="1" applyAlignment="1">
      <alignment horizontal="left" vertical="center"/>
    </xf>
    <xf numFmtId="0" fontId="42" fillId="9" borderId="0" xfId="3" applyFont="1" applyFill="1" applyAlignment="1">
      <alignment horizontal="center" vertical="center"/>
    </xf>
    <xf numFmtId="0" fontId="42" fillId="9" borderId="0" xfId="3" applyFont="1" applyFill="1" applyAlignment="1">
      <alignment horizontal="left" vertical="center"/>
    </xf>
    <xf numFmtId="6" fontId="42" fillId="9" borderId="0" xfId="3" applyNumberFormat="1" applyFont="1" applyFill="1" applyAlignment="1">
      <alignment horizontal="right" vertical="center"/>
    </xf>
    <xf numFmtId="0" fontId="43" fillId="9" borderId="0" xfId="3" applyFont="1" applyFill="1"/>
    <xf numFmtId="0" fontId="44" fillId="0" borderId="0" xfId="3" applyFont="1" applyAlignment="1">
      <alignment horizontal="left" vertical="center"/>
    </xf>
    <xf numFmtId="6" fontId="46" fillId="0" borderId="0" xfId="3" quotePrefix="1" applyNumberFormat="1" applyFont="1" applyAlignment="1">
      <alignment horizontal="center" vertical="center"/>
    </xf>
    <xf numFmtId="0" fontId="47" fillId="0" borderId="0" xfId="3" applyFont="1" applyAlignment="1">
      <alignment vertical="center"/>
    </xf>
    <xf numFmtId="6" fontId="43" fillId="0" borderId="0" xfId="3" applyNumberFormat="1" applyFont="1" applyAlignment="1">
      <alignment vertical="center"/>
    </xf>
    <xf numFmtId="6" fontId="43" fillId="0" borderId="0" xfId="3" applyNumberFormat="1" applyFont="1"/>
    <xf numFmtId="6" fontId="43" fillId="0" borderId="0" xfId="3" quotePrefix="1" applyNumberFormat="1" applyFont="1" applyAlignment="1">
      <alignment horizontal="center" vertical="center"/>
    </xf>
    <xf numFmtId="0" fontId="48" fillId="0" borderId="0" xfId="3" applyFont="1" applyAlignment="1">
      <alignment horizontal="center" vertical="center" wrapText="1"/>
    </xf>
    <xf numFmtId="0" fontId="39" fillId="0" borderId="0" xfId="3" applyFont="1" applyAlignment="1">
      <alignment vertical="center"/>
    </xf>
    <xf numFmtId="6" fontId="43" fillId="0" borderId="0" xfId="3" applyNumberFormat="1" applyFont="1" applyAlignment="1">
      <alignment horizontal="center" vertical="center"/>
    </xf>
    <xf numFmtId="6" fontId="43" fillId="4" borderId="1" xfId="5" applyNumberFormat="1" applyFont="1" applyFill="1" applyBorder="1" applyAlignment="1">
      <alignment vertical="center"/>
    </xf>
    <xf numFmtId="10" fontId="43" fillId="4" borderId="1" xfId="4" applyNumberFormat="1" applyFont="1" applyFill="1" applyBorder="1" applyAlignment="1">
      <alignment horizontal="center" vertical="center"/>
    </xf>
    <xf numFmtId="168" fontId="43" fillId="5" borderId="1" xfId="6" quotePrefix="1" applyNumberFormat="1" applyFont="1" applyFill="1" applyBorder="1" applyAlignment="1">
      <alignment horizontal="center" vertical="center"/>
    </xf>
    <xf numFmtId="168" fontId="43" fillId="5" borderId="1" xfId="6" applyNumberFormat="1" applyFont="1" applyFill="1" applyBorder="1" applyAlignment="1">
      <alignment horizontal="center" vertical="center"/>
    </xf>
    <xf numFmtId="6" fontId="43" fillId="5" borderId="2" xfId="5" applyNumberFormat="1" applyFont="1" applyFill="1" applyBorder="1" applyAlignment="1">
      <alignment vertical="center"/>
    </xf>
    <xf numFmtId="6" fontId="43" fillId="5" borderId="2" xfId="5" quotePrefix="1" applyNumberFormat="1" applyFont="1" applyFill="1" applyBorder="1" applyAlignment="1">
      <alignment horizontal="center" vertical="center"/>
    </xf>
    <xf numFmtId="6" fontId="43" fillId="5" borderId="1" xfId="5" applyNumberFormat="1" applyFont="1" applyFill="1" applyBorder="1" applyAlignment="1">
      <alignment vertical="center"/>
    </xf>
    <xf numFmtId="10" fontId="43" fillId="4" borderId="1" xfId="4" quotePrefix="1" applyNumberFormat="1" applyFont="1" applyFill="1" applyBorder="1" applyAlignment="1">
      <alignment horizontal="center" vertical="center"/>
    </xf>
    <xf numFmtId="168" fontId="43" fillId="5" borderId="3" xfId="6" quotePrefix="1" applyNumberFormat="1" applyFont="1" applyFill="1" applyBorder="1" applyAlignment="1">
      <alignment horizontal="center" vertical="center"/>
    </xf>
    <xf numFmtId="6" fontId="43" fillId="5" borderId="4" xfId="5" applyNumberFormat="1" applyFont="1" applyFill="1" applyBorder="1" applyAlignment="1">
      <alignment vertical="center"/>
    </xf>
    <xf numFmtId="10" fontId="43" fillId="4" borderId="2" xfId="4" applyNumberFormat="1" applyFont="1" applyFill="1" applyBorder="1" applyAlignment="1">
      <alignment horizontal="center" vertical="center"/>
    </xf>
    <xf numFmtId="168" fontId="43" fillId="7" borderId="1" xfId="6" applyNumberFormat="1" applyFont="1" applyFill="1" applyBorder="1" applyAlignment="1">
      <alignment horizontal="center" vertical="center"/>
    </xf>
    <xf numFmtId="6" fontId="43" fillId="7" borderId="2" xfId="5" applyNumberFormat="1" applyFont="1" applyFill="1" applyBorder="1" applyAlignment="1">
      <alignment vertical="center"/>
    </xf>
    <xf numFmtId="9" fontId="43" fillId="7" borderId="2" xfId="2" applyFont="1" applyFill="1" applyBorder="1" applyAlignment="1">
      <alignment vertical="center"/>
    </xf>
    <xf numFmtId="168" fontId="43" fillId="7" borderId="3" xfId="6" applyNumberFormat="1" applyFont="1" applyFill="1" applyBorder="1" applyAlignment="1">
      <alignment horizontal="center" vertical="center"/>
    </xf>
    <xf numFmtId="6" fontId="43" fillId="7" borderId="4" xfId="5" applyNumberFormat="1" applyFont="1" applyFill="1" applyBorder="1" applyAlignment="1">
      <alignment vertical="center"/>
    </xf>
    <xf numFmtId="168" fontId="43" fillId="5" borderId="8" xfId="6" applyNumberFormat="1" applyFont="1" applyFill="1" applyBorder="1" applyAlignment="1">
      <alignment horizontal="center" vertical="center"/>
    </xf>
    <xf numFmtId="6" fontId="43" fillId="5" borderId="9" xfId="5" applyNumberFormat="1" applyFont="1" applyFill="1" applyBorder="1" applyAlignment="1">
      <alignment vertical="center"/>
    </xf>
    <xf numFmtId="9" fontId="43" fillId="7" borderId="1" xfId="2" applyFont="1" applyFill="1" applyBorder="1" applyAlignment="1">
      <alignment horizontal="right" vertical="center"/>
    </xf>
    <xf numFmtId="6" fontId="43" fillId="5" borderId="1" xfId="5" applyNumberFormat="1" applyFont="1" applyFill="1" applyBorder="1" applyAlignment="1">
      <alignment horizontal="right" vertical="center"/>
    </xf>
    <xf numFmtId="167" fontId="43" fillId="7" borderId="2" xfId="2" applyNumberFormat="1" applyFont="1" applyFill="1" applyBorder="1" applyAlignment="1">
      <alignment vertical="center"/>
    </xf>
    <xf numFmtId="167" fontId="43" fillId="7" borderId="1" xfId="2" applyNumberFormat="1" applyFont="1" applyFill="1" applyBorder="1" applyAlignment="1">
      <alignment horizontal="right" vertical="center"/>
    </xf>
    <xf numFmtId="6" fontId="42" fillId="3" borderId="2" xfId="5" applyNumberFormat="1" applyFont="1" applyFill="1" applyBorder="1" applyAlignment="1">
      <alignment vertical="center"/>
    </xf>
    <xf numFmtId="9" fontId="42" fillId="3" borderId="2" xfId="2" applyFont="1" applyFill="1" applyBorder="1" applyAlignment="1">
      <alignment vertical="center"/>
    </xf>
    <xf numFmtId="6" fontId="42" fillId="3" borderId="1" xfId="3" applyNumberFormat="1" applyFont="1" applyFill="1" applyBorder="1" applyAlignment="1">
      <alignment horizontal="right" vertical="center"/>
    </xf>
    <xf numFmtId="8" fontId="43" fillId="0" borderId="0" xfId="3" applyNumberFormat="1" applyFont="1" applyAlignment="1">
      <alignment horizontal="center" vertical="center"/>
    </xf>
    <xf numFmtId="0" fontId="51" fillId="0" borderId="0" xfId="3" applyFont="1" applyAlignment="1">
      <alignment horizontal="center" vertical="center"/>
    </xf>
    <xf numFmtId="0" fontId="42" fillId="3" borderId="1" xfId="3" applyFont="1" applyFill="1" applyBorder="1" applyAlignment="1">
      <alignment horizontal="center" vertical="center" wrapText="1"/>
    </xf>
    <xf numFmtId="166" fontId="43" fillId="0" borderId="0" xfId="5" applyNumberFormat="1" applyFont="1" applyAlignment="1">
      <alignment horizontal="center" vertical="center"/>
    </xf>
    <xf numFmtId="10" fontId="43" fillId="0" borderId="0" xfId="4" applyNumberFormat="1" applyFont="1" applyAlignment="1">
      <alignment horizontal="center" vertical="center"/>
    </xf>
    <xf numFmtId="168" fontId="43" fillId="7" borderId="1" xfId="6" quotePrefix="1" applyNumberFormat="1" applyFont="1" applyFill="1" applyBorder="1" applyAlignment="1">
      <alignment horizontal="center" vertical="center"/>
    </xf>
    <xf numFmtId="6" fontId="43" fillId="7" borderId="1" xfId="5" applyNumberFormat="1" applyFont="1" applyFill="1" applyBorder="1" applyAlignment="1">
      <alignment horizontal="right" vertical="center"/>
    </xf>
    <xf numFmtId="6" fontId="42" fillId="3" borderId="1" xfId="5" applyNumberFormat="1" applyFont="1" applyFill="1" applyBorder="1" applyAlignment="1">
      <alignment vertical="center"/>
    </xf>
    <xf numFmtId="9" fontId="42" fillId="3" borderId="1" xfId="2" applyFont="1" applyFill="1" applyBorder="1" applyAlignment="1">
      <alignment vertical="center"/>
    </xf>
    <xf numFmtId="164" fontId="43" fillId="7" borderId="1" xfId="7" applyNumberFormat="1" applyFont="1" applyFill="1" applyBorder="1" applyAlignment="1">
      <alignment horizontal="right" vertical="center"/>
    </xf>
    <xf numFmtId="164" fontId="42" fillId="3" borderId="1" xfId="7" applyNumberFormat="1" applyFont="1" applyFill="1" applyBorder="1" applyAlignment="1">
      <alignment vertical="center"/>
    </xf>
    <xf numFmtId="9" fontId="42" fillId="3" borderId="1" xfId="7" applyNumberFormat="1" applyFont="1" applyFill="1" applyBorder="1" applyAlignment="1">
      <alignment vertical="center"/>
    </xf>
    <xf numFmtId="0" fontId="42" fillId="3" borderId="11" xfId="3" applyFont="1" applyFill="1" applyBorder="1" applyAlignment="1">
      <alignment horizontal="center" vertical="center"/>
    </xf>
    <xf numFmtId="6" fontId="42" fillId="3" borderId="7" xfId="3" applyNumberFormat="1" applyFont="1" applyFill="1" applyBorder="1" applyAlignment="1">
      <alignment horizontal="center" vertical="center"/>
    </xf>
    <xf numFmtId="167" fontId="42" fillId="3" borderId="10" xfId="4" applyNumberFormat="1" applyFont="1" applyFill="1" applyBorder="1" applyAlignment="1">
      <alignment horizontal="center" vertical="center"/>
    </xf>
    <xf numFmtId="0" fontId="42" fillId="3" borderId="6" xfId="3" applyFont="1" applyFill="1" applyBorder="1" applyAlignment="1">
      <alignment horizontal="center" vertical="center"/>
    </xf>
    <xf numFmtId="10" fontId="42" fillId="3" borderId="2" xfId="4" applyNumberFormat="1" applyFont="1" applyFill="1" applyBorder="1" applyAlignment="1">
      <alignment horizontal="center" vertical="center"/>
    </xf>
    <xf numFmtId="6" fontId="42" fillId="3" borderId="1" xfId="4" applyNumberFormat="1" applyFont="1" applyFill="1" applyBorder="1" applyAlignment="1">
      <alignment horizontal="right" vertical="center"/>
    </xf>
    <xf numFmtId="6" fontId="42" fillId="3" borderId="1" xfId="3" applyNumberFormat="1" applyFont="1" applyFill="1" applyBorder="1" applyAlignment="1">
      <alignment horizontal="center" vertical="center"/>
    </xf>
    <xf numFmtId="8" fontId="42" fillId="3" borderId="1" xfId="5" applyNumberFormat="1" applyFont="1" applyFill="1" applyBorder="1" applyAlignment="1">
      <alignment horizontal="right" vertical="center"/>
    </xf>
    <xf numFmtId="10" fontId="42" fillId="3" borderId="1" xfId="4" applyNumberFormat="1" applyFont="1" applyFill="1" applyBorder="1" applyAlignment="1">
      <alignment horizontal="center" vertical="center"/>
    </xf>
    <xf numFmtId="8" fontId="43" fillId="5" borderId="1" xfId="5" applyNumberFormat="1" applyFont="1" applyFill="1" applyBorder="1" applyAlignment="1">
      <alignment horizontal="right" vertical="center"/>
    </xf>
    <xf numFmtId="6" fontId="43" fillId="5" borderId="1" xfId="3" applyNumberFormat="1" applyFont="1" applyFill="1" applyBorder="1" applyAlignment="1">
      <alignment horizontal="center" vertical="center"/>
    </xf>
    <xf numFmtId="167" fontId="43" fillId="5" borderId="2" xfId="4" applyNumberFormat="1" applyFont="1" applyFill="1" applyBorder="1" applyAlignment="1">
      <alignment horizontal="center" vertical="center"/>
    </xf>
    <xf numFmtId="8" fontId="43" fillId="5" borderId="1" xfId="5" quotePrefix="1" applyNumberFormat="1" applyFont="1" applyFill="1" applyBorder="1" applyAlignment="1">
      <alignment horizontal="center" vertical="center"/>
    </xf>
    <xf numFmtId="6" fontId="43" fillId="5" borderId="1" xfId="5" quotePrefix="1" applyNumberFormat="1" applyFont="1" applyFill="1" applyBorder="1" applyAlignment="1">
      <alignment horizontal="center" vertical="center"/>
    </xf>
    <xf numFmtId="167" fontId="43" fillId="5" borderId="2" xfId="4" quotePrefix="1" applyNumberFormat="1" applyFont="1" applyFill="1" applyBorder="1" applyAlignment="1">
      <alignment horizontal="center" vertical="center"/>
    </xf>
    <xf numFmtId="6" fontId="43" fillId="5" borderId="2" xfId="4" quotePrefix="1" applyNumberFormat="1" applyFont="1" applyFill="1" applyBorder="1" applyAlignment="1">
      <alignment horizontal="center" vertical="center"/>
    </xf>
    <xf numFmtId="8" fontId="43" fillId="5" borderId="3" xfId="5" applyNumberFormat="1" applyFont="1" applyFill="1" applyBorder="1" applyAlignment="1">
      <alignment horizontal="right" vertical="center"/>
    </xf>
    <xf numFmtId="6" fontId="43" fillId="5" borderId="3" xfId="3" applyNumberFormat="1" applyFont="1" applyFill="1" applyBorder="1" applyAlignment="1">
      <alignment horizontal="center" vertical="center"/>
    </xf>
    <xf numFmtId="167" fontId="43" fillId="5" borderId="4" xfId="4" applyNumberFormat="1" applyFont="1" applyFill="1" applyBorder="1" applyAlignment="1">
      <alignment horizontal="center" vertical="center"/>
    </xf>
    <xf numFmtId="8" fontId="43" fillId="5" borderId="1" xfId="5" quotePrefix="1" applyNumberFormat="1" applyFont="1" applyFill="1" applyBorder="1" applyAlignment="1">
      <alignment horizontal="right" vertical="center"/>
    </xf>
    <xf numFmtId="0" fontId="43" fillId="2" borderId="1" xfId="3" applyFont="1" applyFill="1" applyBorder="1" applyAlignment="1">
      <alignment horizontal="center" vertical="center"/>
    </xf>
    <xf numFmtId="6" fontId="52" fillId="6" borderId="1" xfId="5" applyNumberFormat="1" applyFont="1" applyFill="1" applyBorder="1" applyAlignment="1">
      <alignment vertical="center"/>
    </xf>
    <xf numFmtId="10" fontId="52" fillId="6" borderId="1" xfId="4" applyNumberFormat="1" applyFont="1" applyFill="1" applyBorder="1" applyAlignment="1">
      <alignment horizontal="center" vertical="center"/>
    </xf>
    <xf numFmtId="9" fontId="43" fillId="7" borderId="1" xfId="2" applyFont="1" applyFill="1" applyBorder="1" applyAlignment="1">
      <alignment vertical="center"/>
    </xf>
    <xf numFmtId="10" fontId="52" fillId="6" borderId="1" xfId="4" quotePrefix="1" applyNumberFormat="1" applyFont="1" applyFill="1" applyBorder="1" applyAlignment="1">
      <alignment horizontal="center" vertical="center"/>
    </xf>
    <xf numFmtId="6" fontId="52" fillId="2" borderId="1" xfId="5" applyNumberFormat="1" applyFont="1" applyFill="1" applyBorder="1" applyAlignment="1">
      <alignment vertical="center"/>
    </xf>
    <xf numFmtId="10" fontId="52" fillId="2" borderId="1" xfId="4" applyNumberFormat="1" applyFont="1" applyFill="1" applyBorder="1" applyAlignment="1">
      <alignment horizontal="center" vertical="center"/>
    </xf>
    <xf numFmtId="0" fontId="42" fillId="3" borderId="2" xfId="3" applyFont="1" applyFill="1" applyBorder="1" applyAlignment="1">
      <alignment horizontal="center" vertical="center"/>
    </xf>
    <xf numFmtId="0" fontId="42" fillId="3" borderId="2" xfId="3" applyFont="1" applyFill="1" applyBorder="1" applyAlignment="1">
      <alignment horizontal="center" vertical="center" wrapText="1"/>
    </xf>
    <xf numFmtId="10" fontId="43" fillId="5" borderId="20" xfId="4" applyNumberFormat="1" applyFont="1" applyFill="1" applyBorder="1" applyAlignment="1">
      <alignment horizontal="left" vertical="center" wrapText="1"/>
    </xf>
    <xf numFmtId="10" fontId="43" fillId="5" borderId="20" xfId="4" quotePrefix="1" applyNumberFormat="1" applyFont="1" applyFill="1" applyBorder="1" applyAlignment="1">
      <alignment horizontal="left" vertical="center"/>
    </xf>
    <xf numFmtId="10" fontId="43" fillId="5" borderId="20" xfId="4" quotePrefix="1" applyNumberFormat="1" applyFont="1" applyFill="1" applyBorder="1" applyAlignment="1">
      <alignment horizontal="left" vertical="center" wrapText="1"/>
    </xf>
    <xf numFmtId="6" fontId="43" fillId="7" borderId="20" xfId="4" applyNumberFormat="1" applyFont="1" applyFill="1" applyBorder="1" applyAlignment="1">
      <alignment horizontal="left" vertical="center"/>
    </xf>
    <xf numFmtId="10" fontId="43" fillId="5" borderId="20" xfId="4" applyNumberFormat="1" applyFont="1" applyFill="1" applyBorder="1" applyAlignment="1">
      <alignment horizontal="left" vertical="center"/>
    </xf>
    <xf numFmtId="6" fontId="42" fillId="3" borderId="20" xfId="4" applyNumberFormat="1" applyFont="1" applyFill="1" applyBorder="1" applyAlignment="1">
      <alignment horizontal="left" vertical="center"/>
    </xf>
    <xf numFmtId="0" fontId="42" fillId="3" borderId="20" xfId="3" applyFont="1" applyFill="1" applyBorder="1" applyAlignment="1">
      <alignment horizontal="center" vertical="center"/>
    </xf>
    <xf numFmtId="0" fontId="39" fillId="0" borderId="0" xfId="3" applyFont="1" applyAlignment="1">
      <alignment horizontal="center" vertical="center" wrapText="1"/>
    </xf>
    <xf numFmtId="0" fontId="42" fillId="3" borderId="0" xfId="3" applyFont="1" applyFill="1" applyAlignment="1">
      <alignment horizontal="center" vertical="center"/>
    </xf>
    <xf numFmtId="0" fontId="41" fillId="3" borderId="0" xfId="3" applyFont="1" applyFill="1" applyAlignment="1">
      <alignment horizontal="center" vertical="center"/>
    </xf>
    <xf numFmtId="6" fontId="43" fillId="0" borderId="0" xfId="3" applyNumberFormat="1" applyFont="1" applyAlignment="1">
      <alignment horizontal="left" vertical="center"/>
    </xf>
    <xf numFmtId="0" fontId="64" fillId="3" borderId="0" xfId="3" applyFont="1" applyFill="1" applyAlignment="1">
      <alignment horizontal="center" vertical="center"/>
    </xf>
    <xf numFmtId="0" fontId="65" fillId="0" borderId="0" xfId="3" applyFont="1" applyAlignment="1">
      <alignment horizontal="center" vertical="center"/>
    </xf>
    <xf numFmtId="0" fontId="65" fillId="0" borderId="0" xfId="3" applyFont="1" applyAlignment="1">
      <alignment vertical="center"/>
    </xf>
    <xf numFmtId="6" fontId="65" fillId="0" borderId="0" xfId="3" applyNumberFormat="1" applyFont="1" applyAlignment="1">
      <alignment horizontal="right" vertical="center"/>
    </xf>
    <xf numFmtId="0" fontId="43" fillId="0" borderId="0" xfId="3" applyFont="1" applyAlignment="1">
      <alignment wrapText="1"/>
    </xf>
    <xf numFmtId="0" fontId="67" fillId="0" borderId="0" xfId="3" applyFont="1" applyAlignment="1">
      <alignment vertical="center"/>
    </xf>
    <xf numFmtId="0" fontId="68" fillId="0" borderId="0" xfId="3" applyFont="1" applyAlignment="1">
      <alignment vertical="center"/>
    </xf>
    <xf numFmtId="0" fontId="69" fillId="0" borderId="0" xfId="3" applyFont="1" applyAlignment="1">
      <alignment horizontal="left" vertical="center"/>
    </xf>
    <xf numFmtId="0" fontId="42" fillId="3" borderId="1" xfId="3" applyFont="1" applyFill="1" applyBorder="1" applyAlignment="1">
      <alignment horizontal="center" vertical="center"/>
    </xf>
    <xf numFmtId="6" fontId="7" fillId="0" borderId="0" xfId="1" applyNumberFormat="1" applyFont="1" applyAlignment="1">
      <alignment horizontal="right" vertical="center"/>
    </xf>
    <xf numFmtId="9" fontId="7" fillId="0" borderId="0" xfId="2" applyFont="1" applyAlignment="1">
      <alignment horizontal="center" vertical="center"/>
    </xf>
    <xf numFmtId="6" fontId="7" fillId="0" borderId="0" xfId="1" applyNumberFormat="1" applyFont="1" applyBorder="1" applyAlignment="1">
      <alignment horizontal="right" vertical="center"/>
    </xf>
    <xf numFmtId="9" fontId="7" fillId="0" borderId="0" xfId="2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43" fillId="0" borderId="0" xfId="0" applyFont="1" applyAlignment="1">
      <alignment horizontal="left"/>
    </xf>
    <xf numFmtId="0" fontId="43" fillId="0" borderId="0" xfId="0" applyFont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43" fillId="0" borderId="22" xfId="0" applyFont="1" applyBorder="1" applyAlignment="1">
      <alignment horizontal="center" vertical="center"/>
    </xf>
    <xf numFmtId="6" fontId="7" fillId="0" borderId="22" xfId="1" applyNumberFormat="1" applyFont="1" applyBorder="1" applyAlignment="1">
      <alignment horizontal="right" vertical="center"/>
    </xf>
    <xf numFmtId="9" fontId="7" fillId="0" borderId="23" xfId="2" applyFont="1" applyBorder="1" applyAlignment="1">
      <alignment horizontal="center" vertical="center"/>
    </xf>
    <xf numFmtId="0" fontId="78" fillId="0" borderId="0" xfId="0" applyFont="1" applyAlignment="1">
      <alignment horizontal="left" vertical="center"/>
    </xf>
    <xf numFmtId="9" fontId="42" fillId="3" borderId="2" xfId="4" applyFont="1" applyFill="1" applyBorder="1" applyAlignment="1">
      <alignment horizontal="right" vertical="center"/>
    </xf>
    <xf numFmtId="167" fontId="43" fillId="7" borderId="2" xfId="4" applyNumberFormat="1" applyFont="1" applyFill="1" applyBorder="1" applyAlignment="1">
      <alignment horizontal="right" vertical="center"/>
    </xf>
    <xf numFmtId="6" fontId="43" fillId="5" borderId="1" xfId="5" quotePrefix="1" applyNumberFormat="1" applyFont="1" applyFill="1" applyBorder="1" applyAlignment="1">
      <alignment horizontal="right" vertical="center"/>
    </xf>
    <xf numFmtId="6" fontId="43" fillId="5" borderId="1" xfId="3" applyNumberFormat="1" applyFont="1" applyFill="1" applyBorder="1" applyAlignment="1">
      <alignment horizontal="right" vertical="center"/>
    </xf>
    <xf numFmtId="167" fontId="43" fillId="5" borderId="2" xfId="4" applyNumberFormat="1" applyFont="1" applyFill="1" applyBorder="1" applyAlignment="1">
      <alignment horizontal="right" vertical="center"/>
    </xf>
    <xf numFmtId="6" fontId="43" fillId="7" borderId="3" xfId="5" applyNumberFormat="1" applyFont="1" applyFill="1" applyBorder="1" applyAlignment="1">
      <alignment horizontal="right" vertical="center"/>
    </xf>
    <xf numFmtId="167" fontId="43" fillId="7" borderId="4" xfId="4" applyNumberFormat="1" applyFont="1" applyFill="1" applyBorder="1" applyAlignment="1">
      <alignment horizontal="right" vertical="center"/>
    </xf>
    <xf numFmtId="167" fontId="43" fillId="5" borderId="2" xfId="4" quotePrefix="1" applyNumberFormat="1" applyFont="1" applyFill="1" applyBorder="1" applyAlignment="1">
      <alignment horizontal="right" vertical="center"/>
    </xf>
    <xf numFmtId="6" fontId="43" fillId="5" borderId="8" xfId="5" applyNumberFormat="1" applyFont="1" applyFill="1" applyBorder="1" applyAlignment="1">
      <alignment horizontal="right" vertical="center"/>
    </xf>
    <xf numFmtId="6" fontId="43" fillId="5" borderId="8" xfId="3" applyNumberFormat="1" applyFont="1" applyFill="1" applyBorder="1" applyAlignment="1">
      <alignment horizontal="right" vertical="center"/>
    </xf>
    <xf numFmtId="167" fontId="43" fillId="5" borderId="9" xfId="4" applyNumberFormat="1" applyFont="1" applyFill="1" applyBorder="1" applyAlignment="1">
      <alignment horizontal="right" vertical="center"/>
    </xf>
    <xf numFmtId="6" fontId="43" fillId="5" borderId="1" xfId="5" quotePrefix="1" applyNumberFormat="1" applyFont="1" applyFill="1" applyBorder="1" applyAlignment="1">
      <alignment vertical="center"/>
    </xf>
    <xf numFmtId="167" fontId="43" fillId="7" borderId="2" xfId="4" applyNumberFormat="1" applyFont="1" applyFill="1" applyBorder="1" applyAlignment="1">
      <alignment horizontal="center" vertical="center"/>
    </xf>
    <xf numFmtId="167" fontId="43" fillId="7" borderId="4" xfId="4" applyNumberFormat="1" applyFont="1" applyFill="1" applyBorder="1" applyAlignment="1">
      <alignment horizontal="center" vertical="center"/>
    </xf>
    <xf numFmtId="6" fontId="43" fillId="5" borderId="2" xfId="5" applyNumberFormat="1" applyFont="1" applyFill="1" applyBorder="1" applyAlignment="1">
      <alignment horizontal="center" vertical="center"/>
    </xf>
    <xf numFmtId="0" fontId="42" fillId="3" borderId="20" xfId="0" applyFont="1" applyFill="1" applyBorder="1" applyAlignment="1">
      <alignment horizontal="center" vertical="center" wrapText="1"/>
    </xf>
    <xf numFmtId="10" fontId="81" fillId="5" borderId="20" xfId="8" applyNumberFormat="1" applyFont="1" applyFill="1" applyBorder="1" applyAlignment="1">
      <alignment horizontal="left" vertical="center" wrapText="1"/>
    </xf>
    <xf numFmtId="0" fontId="42" fillId="3" borderId="27" xfId="3" applyFont="1" applyFill="1" applyBorder="1" applyAlignment="1">
      <alignment horizontal="center" vertical="center"/>
    </xf>
    <xf numFmtId="0" fontId="42" fillId="3" borderId="28" xfId="3" applyFont="1" applyFill="1" applyBorder="1" applyAlignment="1">
      <alignment horizontal="center" vertical="center" wrapText="1"/>
    </xf>
    <xf numFmtId="6" fontId="43" fillId="5" borderId="29" xfId="5" applyNumberFormat="1" applyFont="1" applyFill="1" applyBorder="1" applyAlignment="1">
      <alignment vertical="center"/>
    </xf>
    <xf numFmtId="9" fontId="43" fillId="5" borderId="28" xfId="2" applyFont="1" applyFill="1" applyBorder="1" applyAlignment="1">
      <alignment horizontal="center" vertical="center"/>
    </xf>
    <xf numFmtId="6" fontId="43" fillId="5" borderId="27" xfId="5" quotePrefix="1" applyNumberFormat="1" applyFont="1" applyFill="1" applyBorder="1" applyAlignment="1">
      <alignment horizontal="center" vertical="center"/>
    </xf>
    <xf numFmtId="9" fontId="43" fillId="5" borderId="28" xfId="2" quotePrefix="1" applyFont="1" applyFill="1" applyBorder="1" applyAlignment="1">
      <alignment horizontal="center" vertical="center"/>
    </xf>
    <xf numFmtId="6" fontId="43" fillId="7" borderId="29" xfId="5" applyNumberFormat="1" applyFont="1" applyFill="1" applyBorder="1" applyAlignment="1">
      <alignment vertical="center"/>
    </xf>
    <xf numFmtId="9" fontId="43" fillId="7" borderId="28" xfId="2" applyFont="1" applyFill="1" applyBorder="1" applyAlignment="1">
      <alignment horizontal="center" vertical="center"/>
    </xf>
    <xf numFmtId="6" fontId="43" fillId="7" borderId="29" xfId="3" applyNumberFormat="1" applyFont="1" applyFill="1" applyBorder="1" applyAlignment="1">
      <alignment horizontal="right" vertical="center"/>
    </xf>
    <xf numFmtId="6" fontId="43" fillId="5" borderId="28" xfId="5" quotePrefix="1" applyNumberFormat="1" applyFont="1" applyFill="1" applyBorder="1" applyAlignment="1">
      <alignment horizontal="center" vertical="center"/>
    </xf>
    <xf numFmtId="6" fontId="43" fillId="5" borderId="27" xfId="5" applyNumberFormat="1" applyFont="1" applyFill="1" applyBorder="1" applyAlignment="1">
      <alignment vertical="center"/>
    </xf>
    <xf numFmtId="6" fontId="43" fillId="5" borderId="29" xfId="5" applyNumberFormat="1" applyFont="1" applyFill="1" applyBorder="1" applyAlignment="1">
      <alignment horizontal="right" vertical="center"/>
    </xf>
    <xf numFmtId="6" fontId="42" fillId="3" borderId="30" xfId="3" applyNumberFormat="1" applyFont="1" applyFill="1" applyBorder="1" applyAlignment="1">
      <alignment horizontal="right" vertical="center"/>
    </xf>
    <xf numFmtId="9" fontId="42" fillId="3" borderId="31" xfId="2" applyFont="1" applyFill="1" applyBorder="1" applyAlignment="1">
      <alignment horizontal="right" vertical="center"/>
    </xf>
    <xf numFmtId="10" fontId="42" fillId="3" borderId="32" xfId="2" applyNumberFormat="1" applyFont="1" applyFill="1" applyBorder="1" applyAlignment="1">
      <alignment horizontal="center" vertical="center"/>
    </xf>
    <xf numFmtId="0" fontId="42" fillId="3" borderId="27" xfId="3" applyFont="1" applyFill="1" applyBorder="1" applyAlignment="1">
      <alignment horizontal="center" vertical="center" wrapText="1"/>
    </xf>
    <xf numFmtId="9" fontId="42" fillId="3" borderId="32" xfId="2" applyFont="1" applyFill="1" applyBorder="1" applyAlignment="1">
      <alignment horizontal="center" vertical="center"/>
    </xf>
    <xf numFmtId="0" fontId="82" fillId="0" borderId="0" xfId="0" applyFont="1" applyAlignment="1">
      <alignment horizontal="center" vertical="center"/>
    </xf>
    <xf numFmtId="0" fontId="82" fillId="0" borderId="0" xfId="0" applyFont="1" applyAlignment="1">
      <alignment vertical="center" wrapText="1"/>
    </xf>
    <xf numFmtId="0" fontId="68" fillId="0" borderId="0" xfId="3" applyFont="1" applyAlignment="1">
      <alignment horizontal="center" vertical="center"/>
    </xf>
    <xf numFmtId="6" fontId="43" fillId="5" borderId="2" xfId="4" quotePrefix="1" applyNumberFormat="1" applyFont="1" applyFill="1" applyBorder="1" applyAlignment="1">
      <alignment horizontal="right" vertical="center"/>
    </xf>
    <xf numFmtId="0" fontId="67" fillId="0" borderId="0" xfId="3" applyFont="1" applyAlignment="1">
      <alignment horizontal="center" vertical="center"/>
    </xf>
    <xf numFmtId="0" fontId="45" fillId="3" borderId="0" xfId="3" applyFont="1" applyFill="1" applyAlignment="1">
      <alignment horizontal="center" vertical="center" wrapText="1"/>
    </xf>
    <xf numFmtId="0" fontId="11" fillId="3" borderId="0" xfId="3" applyFont="1" applyFill="1" applyAlignment="1">
      <alignment horizontal="center" vertical="center"/>
    </xf>
    <xf numFmtId="0" fontId="43" fillId="0" borderId="0" xfId="3" applyFont="1" applyAlignment="1">
      <alignment horizontal="right" vertical="center"/>
    </xf>
    <xf numFmtId="6" fontId="84" fillId="0" borderId="0" xfId="3" applyNumberFormat="1" applyFont="1" applyAlignment="1">
      <alignment horizontal="right" vertical="center"/>
    </xf>
    <xf numFmtId="6" fontId="50" fillId="0" borderId="0" xfId="3" applyNumberFormat="1" applyFont="1" applyAlignment="1">
      <alignment horizontal="right" vertical="center"/>
    </xf>
    <xf numFmtId="0" fontId="50" fillId="0" borderId="0" xfId="3" applyFont="1"/>
    <xf numFmtId="0" fontId="8" fillId="0" borderId="0" xfId="3" applyFont="1" applyAlignment="1">
      <alignment vertical="center"/>
    </xf>
    <xf numFmtId="6" fontId="42" fillId="9" borderId="0" xfId="3" applyNumberFormat="1" applyFont="1" applyFill="1" applyAlignment="1">
      <alignment horizontal="center" vertical="center"/>
    </xf>
    <xf numFmtId="0" fontId="39" fillId="0" borderId="0" xfId="3" applyFont="1" applyAlignment="1">
      <alignment vertical="center" wrapText="1"/>
    </xf>
    <xf numFmtId="0" fontId="50" fillId="0" borderId="0" xfId="3" applyFont="1" applyAlignment="1">
      <alignment horizontal="left" vertical="center"/>
    </xf>
    <xf numFmtId="6" fontId="84" fillId="0" borderId="0" xfId="3" quotePrefix="1" applyNumberFormat="1" applyFont="1" applyAlignment="1">
      <alignment horizontal="center" vertical="center"/>
    </xf>
    <xf numFmtId="6" fontId="50" fillId="0" borderId="0" xfId="3" quotePrefix="1" applyNumberFormat="1" applyFont="1" applyAlignment="1">
      <alignment horizontal="center" vertical="center"/>
    </xf>
    <xf numFmtId="0" fontId="65" fillId="0" borderId="0" xfId="3" applyFont="1"/>
    <xf numFmtId="6" fontId="65" fillId="0" borderId="0" xfId="3" quotePrefix="1" applyNumberFormat="1" applyFont="1" applyAlignment="1">
      <alignment horizontal="center" vertical="center"/>
    </xf>
    <xf numFmtId="6" fontId="43" fillId="5" borderId="2" xfId="5" applyNumberFormat="1" applyFont="1" applyFill="1" applyBorder="1" applyAlignment="1">
      <alignment horizontal="right" vertical="center"/>
    </xf>
    <xf numFmtId="169" fontId="42" fillId="3" borderId="1" xfId="5" applyNumberFormat="1" applyFont="1" applyFill="1" applyBorder="1" applyAlignment="1">
      <alignment horizontal="right" vertical="center"/>
    </xf>
    <xf numFmtId="10" fontId="67" fillId="5" borderId="20" xfId="4" applyNumberFormat="1" applyFont="1" applyFill="1" applyBorder="1" applyAlignment="1">
      <alignment horizontal="left" vertical="center" wrapText="1"/>
    </xf>
    <xf numFmtId="10" fontId="89" fillId="5" borderId="20" xfId="4" applyNumberFormat="1" applyFont="1" applyFill="1" applyBorder="1" applyAlignment="1">
      <alignment horizontal="left" vertical="center" wrapText="1"/>
    </xf>
    <xf numFmtId="0" fontId="41" fillId="3" borderId="33" xfId="3" applyFont="1" applyFill="1" applyBorder="1" applyAlignment="1">
      <alignment horizontal="center" vertical="center"/>
    </xf>
    <xf numFmtId="0" fontId="43" fillId="0" borderId="34" xfId="3" applyFont="1" applyBorder="1" applyAlignment="1">
      <alignment horizontal="center" vertical="center"/>
    </xf>
    <xf numFmtId="0" fontId="41" fillId="3" borderId="34" xfId="3" applyFont="1" applyFill="1" applyBorder="1" applyAlignment="1">
      <alignment horizontal="center" vertical="center"/>
    </xf>
    <xf numFmtId="0" fontId="42" fillId="9" borderId="35" xfId="3" applyFont="1" applyFill="1" applyBorder="1" applyAlignment="1">
      <alignment horizontal="left" vertical="center"/>
    </xf>
    <xf numFmtId="6" fontId="43" fillId="0" borderId="34" xfId="3" applyNumberFormat="1" applyFont="1" applyBorder="1" applyAlignment="1">
      <alignment vertical="center"/>
    </xf>
    <xf numFmtId="6" fontId="42" fillId="9" borderId="35" xfId="3" applyNumberFormat="1" applyFont="1" applyFill="1" applyBorder="1" applyAlignment="1">
      <alignment horizontal="right" vertical="center"/>
    </xf>
    <xf numFmtId="168" fontId="8" fillId="5" borderId="1" xfId="6" applyNumberFormat="1" applyFont="1" applyFill="1" applyBorder="1" applyAlignment="1">
      <alignment horizontal="center" vertical="center"/>
    </xf>
    <xf numFmtId="168" fontId="8" fillId="5" borderId="3" xfId="6" applyNumberFormat="1" applyFont="1" applyFill="1" applyBorder="1" applyAlignment="1">
      <alignment horizontal="center" vertical="center"/>
    </xf>
    <xf numFmtId="167" fontId="8" fillId="5" borderId="2" xfId="4" applyNumberFormat="1" applyFont="1" applyFill="1" applyBorder="1" applyAlignment="1">
      <alignment horizontal="right" vertical="center"/>
    </xf>
    <xf numFmtId="6" fontId="8" fillId="5" borderId="1" xfId="5" applyNumberFormat="1" applyFont="1" applyFill="1" applyBorder="1" applyAlignment="1">
      <alignment horizontal="right" vertical="center"/>
    </xf>
    <xf numFmtId="167" fontId="8" fillId="5" borderId="2" xfId="4" applyNumberFormat="1" applyFont="1" applyFill="1" applyBorder="1" applyAlignment="1">
      <alignment horizontal="center" vertical="center"/>
    </xf>
    <xf numFmtId="6" fontId="8" fillId="5" borderId="29" xfId="5" applyNumberFormat="1" applyFont="1" applyFill="1" applyBorder="1" applyAlignment="1">
      <alignment vertical="center"/>
    </xf>
    <xf numFmtId="167" fontId="8" fillId="5" borderId="2" xfId="4" quotePrefix="1" applyNumberFormat="1" applyFont="1" applyFill="1" applyBorder="1" applyAlignment="1">
      <alignment horizontal="center" vertical="center"/>
    </xf>
    <xf numFmtId="6" fontId="8" fillId="5" borderId="2" xfId="4" quotePrefix="1" applyNumberFormat="1" applyFont="1" applyFill="1" applyBorder="1" applyAlignment="1">
      <alignment horizontal="center" vertical="center"/>
    </xf>
    <xf numFmtId="6" fontId="8" fillId="5" borderId="27" xfId="5" quotePrefix="1" applyNumberFormat="1" applyFont="1" applyFill="1" applyBorder="1" applyAlignment="1">
      <alignment horizontal="center" vertical="center"/>
    </xf>
    <xf numFmtId="168" fontId="8" fillId="5" borderId="8" xfId="6" applyNumberFormat="1" applyFont="1" applyFill="1" applyBorder="1" applyAlignment="1">
      <alignment horizontal="center" vertical="center"/>
    </xf>
    <xf numFmtId="6" fontId="43" fillId="8" borderId="34" xfId="3" applyNumberFormat="1" applyFont="1" applyFill="1" applyBorder="1" applyAlignment="1">
      <alignment vertical="center"/>
    </xf>
    <xf numFmtId="6" fontId="43" fillId="5" borderId="27" xfId="5" quotePrefix="1" applyNumberFormat="1" applyFont="1" applyFill="1" applyBorder="1" applyAlignment="1">
      <alignment horizontal="right" vertical="center"/>
    </xf>
    <xf numFmtId="0" fontId="67" fillId="0" borderId="0" xfId="3" applyFont="1"/>
    <xf numFmtId="0" fontId="43" fillId="0" borderId="0" xfId="0" applyFont="1" applyAlignment="1">
      <alignment vertical="center"/>
    </xf>
    <xf numFmtId="168" fontId="13" fillId="7" borderId="1" xfId="6" quotePrefix="1" applyNumberFormat="1" applyFont="1" applyFill="1" applyBorder="1" applyAlignment="1">
      <alignment horizontal="center" vertical="center"/>
    </xf>
    <xf numFmtId="168" fontId="13" fillId="7" borderId="1" xfId="6" applyNumberFormat="1" applyFont="1" applyFill="1" applyBorder="1" applyAlignment="1">
      <alignment horizontal="center" vertical="center"/>
    </xf>
    <xf numFmtId="167" fontId="43" fillId="7" borderId="2" xfId="4" quotePrefix="1" applyNumberFormat="1" applyFont="1" applyFill="1" applyBorder="1" applyAlignment="1">
      <alignment horizontal="center" vertical="center"/>
    </xf>
    <xf numFmtId="6" fontId="43" fillId="7" borderId="1" xfId="5" quotePrefix="1" applyNumberFormat="1" applyFont="1" applyFill="1" applyBorder="1" applyAlignment="1">
      <alignment horizontal="center" vertical="center"/>
    </xf>
    <xf numFmtId="8" fontId="43" fillId="7" borderId="1" xfId="5" quotePrefix="1" applyNumberFormat="1" applyFont="1" applyFill="1" applyBorder="1" applyAlignment="1">
      <alignment horizontal="center" vertical="center"/>
    </xf>
    <xf numFmtId="167" fontId="43" fillId="7" borderId="1" xfId="4" quotePrefix="1" applyNumberFormat="1" applyFont="1" applyFill="1" applyBorder="1" applyAlignment="1">
      <alignment horizontal="center" vertical="center"/>
    </xf>
    <xf numFmtId="8" fontId="43" fillId="7" borderId="1" xfId="5" applyNumberFormat="1" applyFont="1" applyFill="1" applyBorder="1" applyAlignment="1">
      <alignment horizontal="right" vertical="center"/>
    </xf>
    <xf numFmtId="167" fontId="43" fillId="7" borderId="1" xfId="4" applyNumberFormat="1" applyFont="1" applyFill="1" applyBorder="1" applyAlignment="1">
      <alignment horizontal="center" vertical="center"/>
    </xf>
    <xf numFmtId="9" fontId="43" fillId="7" borderId="28" xfId="2" quotePrefix="1" applyFont="1" applyFill="1" applyBorder="1" applyAlignment="1">
      <alignment horizontal="center" vertical="center"/>
    </xf>
    <xf numFmtId="0" fontId="67" fillId="7" borderId="20" xfId="3" applyFont="1" applyFill="1" applyBorder="1" applyAlignment="1">
      <alignment horizontal="left" vertical="center"/>
    </xf>
    <xf numFmtId="10" fontId="81" fillId="7" borderId="20" xfId="8" applyNumberFormat="1" applyFont="1" applyFill="1" applyBorder="1" applyAlignment="1">
      <alignment horizontal="left" vertical="center" wrapText="1"/>
    </xf>
    <xf numFmtId="6" fontId="65" fillId="0" borderId="34" xfId="3" applyNumberFormat="1" applyFont="1" applyBorder="1" applyAlignment="1">
      <alignment vertical="center"/>
    </xf>
    <xf numFmtId="6" fontId="43" fillId="0" borderId="34" xfId="3" applyNumberFormat="1" applyFont="1" applyBorder="1" applyAlignment="1">
      <alignment horizontal="right" vertical="center"/>
    </xf>
    <xf numFmtId="10" fontId="78" fillId="5" borderId="20" xfId="4" quotePrefix="1" applyNumberFormat="1" applyFont="1" applyFill="1" applyBorder="1" applyAlignment="1">
      <alignment horizontal="left" vertical="center"/>
    </xf>
    <xf numFmtId="10" fontId="95" fillId="5" borderId="20" xfId="4" applyNumberFormat="1" applyFont="1" applyFill="1" applyBorder="1" applyAlignment="1">
      <alignment horizontal="left" vertical="center" wrapText="1"/>
    </xf>
    <xf numFmtId="10" fontId="67" fillId="5" borderId="20" xfId="4" applyNumberFormat="1" applyFont="1" applyFill="1" applyBorder="1" applyAlignment="1">
      <alignment horizontal="left" vertical="center"/>
    </xf>
    <xf numFmtId="0" fontId="7" fillId="0" borderId="36" xfId="0" applyFont="1" applyBorder="1" applyAlignment="1">
      <alignment horizontal="center" vertical="center"/>
    </xf>
    <xf numFmtId="0" fontId="72" fillId="0" borderId="36" xfId="0" applyFont="1" applyBorder="1" applyAlignment="1">
      <alignment horizontal="center" vertical="center"/>
    </xf>
    <xf numFmtId="6" fontId="93" fillId="8" borderId="36" xfId="0" applyNumberFormat="1" applyFont="1" applyFill="1" applyBorder="1" applyAlignment="1">
      <alignment horizontal="right" vertical="center"/>
    </xf>
    <xf numFmtId="6" fontId="8" fillId="0" borderId="36" xfId="1" applyNumberFormat="1" applyFont="1" applyFill="1" applyBorder="1" applyAlignment="1">
      <alignment vertical="center"/>
    </xf>
    <xf numFmtId="0" fontId="74" fillId="0" borderId="36" xfId="0" applyFont="1" applyBorder="1" applyAlignment="1">
      <alignment vertical="center"/>
    </xf>
    <xf numFmtId="6" fontId="8" fillId="0" borderId="36" xfId="1" applyNumberFormat="1" applyFont="1" applyBorder="1" applyAlignment="1">
      <alignment vertical="center"/>
    </xf>
    <xf numFmtId="0" fontId="7" fillId="0" borderId="36" xfId="0" applyFont="1" applyBorder="1" applyAlignment="1">
      <alignment vertical="center"/>
    </xf>
    <xf numFmtId="0" fontId="74" fillId="8" borderId="36" xfId="0" applyFont="1" applyFill="1" applyBorder="1" applyAlignment="1">
      <alignment vertical="center" wrapText="1"/>
    </xf>
    <xf numFmtId="0" fontId="93" fillId="8" borderId="36" xfId="0" applyFont="1" applyFill="1" applyBorder="1" applyAlignment="1">
      <alignment horizontal="center" vertical="center"/>
    </xf>
    <xf numFmtId="6" fontId="36" fillId="8" borderId="36" xfId="0" applyNumberFormat="1" applyFont="1" applyFill="1" applyBorder="1" applyAlignment="1">
      <alignment horizontal="right" vertical="center"/>
    </xf>
    <xf numFmtId="0" fontId="67" fillId="7" borderId="20" xfId="3" applyFont="1" applyFill="1" applyBorder="1" applyAlignment="1">
      <alignment vertical="center" wrapText="1"/>
    </xf>
    <xf numFmtId="0" fontId="13" fillId="0" borderId="0" xfId="3" applyFont="1"/>
    <xf numFmtId="0" fontId="43" fillId="8" borderId="0" xfId="3" applyFont="1" applyFill="1" applyAlignment="1">
      <alignment horizontal="center" vertical="center"/>
    </xf>
    <xf numFmtId="0" fontId="8" fillId="8" borderId="0" xfId="3" applyFont="1" applyFill="1" applyAlignment="1">
      <alignment vertical="center"/>
    </xf>
    <xf numFmtId="6" fontId="43" fillId="8" borderId="0" xfId="3" applyNumberFormat="1" applyFont="1" applyFill="1" applyAlignment="1">
      <alignment horizontal="right" vertical="center"/>
    </xf>
    <xf numFmtId="6" fontId="50" fillId="8" borderId="0" xfId="3" applyNumberFormat="1" applyFont="1" applyFill="1" applyAlignment="1">
      <alignment horizontal="right" vertical="center"/>
    </xf>
    <xf numFmtId="0" fontId="43" fillId="8" borderId="0" xfId="3" applyFont="1" applyFill="1" applyAlignment="1">
      <alignment vertical="center"/>
    </xf>
    <xf numFmtId="6" fontId="50" fillId="5" borderId="29" xfId="5" applyNumberFormat="1" applyFont="1" applyFill="1" applyBorder="1" applyAlignment="1">
      <alignment vertical="center"/>
    </xf>
    <xf numFmtId="6" fontId="50" fillId="7" borderId="29" xfId="3" applyNumberFormat="1" applyFont="1" applyFill="1" applyBorder="1" applyAlignment="1">
      <alignment horizontal="right" vertical="center"/>
    </xf>
    <xf numFmtId="6" fontId="50" fillId="5" borderId="27" xfId="5" applyNumberFormat="1" applyFont="1" applyFill="1" applyBorder="1" applyAlignment="1">
      <alignment vertical="center"/>
    </xf>
    <xf numFmtId="0" fontId="1" fillId="5" borderId="0" xfId="0" applyFont="1" applyFill="1" applyAlignment="1">
      <alignment horizontal="left" vertical="center"/>
    </xf>
    <xf numFmtId="0" fontId="59" fillId="0" borderId="0" xfId="3" applyFont="1" applyAlignment="1">
      <alignment horizontal="center" vertical="center"/>
    </xf>
    <xf numFmtId="0" fontId="39" fillId="0" borderId="0" xfId="3" applyFont="1" applyAlignment="1">
      <alignment horizontal="center" vertical="center"/>
    </xf>
    <xf numFmtId="0" fontId="51" fillId="0" borderId="5" xfId="3" applyFont="1" applyBorder="1" applyAlignment="1">
      <alignment horizontal="center" vertical="center"/>
    </xf>
    <xf numFmtId="0" fontId="55" fillId="0" borderId="5" xfId="3" applyFont="1" applyBorder="1" applyAlignment="1">
      <alignment horizontal="center" vertical="center"/>
    </xf>
    <xf numFmtId="0" fontId="55" fillId="0" borderId="0" xfId="3" applyFont="1" applyAlignment="1">
      <alignment horizontal="center" vertical="center"/>
    </xf>
    <xf numFmtId="0" fontId="53" fillId="9" borderId="24" xfId="3" applyFont="1" applyFill="1" applyBorder="1" applyAlignment="1">
      <alignment horizontal="center" vertical="center"/>
    </xf>
    <xf numFmtId="0" fontId="53" fillId="9" borderId="25" xfId="3" applyFont="1" applyFill="1" applyBorder="1" applyAlignment="1">
      <alignment horizontal="center" vertical="center"/>
    </xf>
    <xf numFmtId="0" fontId="53" fillId="9" borderId="26" xfId="3" applyFont="1" applyFill="1" applyBorder="1" applyAlignment="1">
      <alignment horizontal="center" vertical="center"/>
    </xf>
    <xf numFmtId="0" fontId="42" fillId="3" borderId="1" xfId="3" applyFont="1" applyFill="1" applyBorder="1" applyAlignment="1">
      <alignment horizontal="center" vertical="center"/>
    </xf>
    <xf numFmtId="168" fontId="42" fillId="3" borderId="1" xfId="6" applyNumberFormat="1" applyFont="1" applyFill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6" fillId="0" borderId="0" xfId="0" applyFont="1" applyAlignment="1">
      <alignment horizontal="center"/>
    </xf>
    <xf numFmtId="0" fontId="83" fillId="0" borderId="0" xfId="0" applyFont="1" applyAlignment="1">
      <alignment horizontal="right" vertical="center"/>
    </xf>
    <xf numFmtId="0" fontId="77" fillId="0" borderId="0" xfId="0" applyFont="1" applyAlignment="1">
      <alignment horizontal="right" vertical="center"/>
    </xf>
    <xf numFmtId="0" fontId="79" fillId="0" borderId="0" xfId="0" applyFont="1" applyAlignment="1">
      <alignment horizontal="center"/>
    </xf>
    <xf numFmtId="0" fontId="72" fillId="0" borderId="36" xfId="0" applyFont="1" applyBorder="1" applyAlignment="1">
      <alignment horizontal="center" vertical="center"/>
    </xf>
    <xf numFmtId="0" fontId="72" fillId="0" borderId="36" xfId="0" applyFont="1" applyBorder="1" applyAlignment="1">
      <alignment horizontal="center" vertical="center" wrapText="1"/>
    </xf>
    <xf numFmtId="0" fontId="38" fillId="0" borderId="0" xfId="3" applyFont="1" applyAlignment="1">
      <alignment horizontal="center" vertical="center" wrapText="1"/>
    </xf>
    <xf numFmtId="0" fontId="38" fillId="0" borderId="0" xfId="3" applyFont="1" applyAlignment="1">
      <alignment horizontal="center" vertical="center"/>
    </xf>
    <xf numFmtId="0" fontId="9" fillId="0" borderId="0" xfId="3" applyFont="1" applyAlignment="1">
      <alignment horizontal="center" vertical="center" wrapText="1"/>
    </xf>
    <xf numFmtId="0" fontId="39" fillId="0" borderId="0" xfId="3" applyFont="1" applyAlignment="1">
      <alignment horizontal="center" vertical="center" wrapText="1"/>
    </xf>
    <xf numFmtId="0" fontId="40" fillId="3" borderId="0" xfId="3" applyFont="1" applyFill="1" applyAlignment="1">
      <alignment horizontal="center" vertical="center"/>
    </xf>
    <xf numFmtId="0" fontId="41" fillId="3" borderId="0" xfId="3" applyFont="1" applyFill="1" applyAlignment="1">
      <alignment horizontal="center" vertical="center"/>
    </xf>
    <xf numFmtId="0" fontId="42" fillId="3" borderId="0" xfId="3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45" fillId="3" borderId="0" xfId="3" applyFont="1" applyFill="1" applyAlignment="1">
      <alignment horizontal="center" vertical="center" wrapText="1"/>
    </xf>
    <xf numFmtId="0" fontId="11" fillId="3" borderId="0" xfId="3" applyFont="1" applyFill="1" applyAlignment="1">
      <alignment horizontal="center" vertical="center"/>
    </xf>
    <xf numFmtId="0" fontId="87" fillId="3" borderId="0" xfId="3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8" fillId="3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/>
    </xf>
    <xf numFmtId="6" fontId="33" fillId="5" borderId="0" xfId="1" applyNumberFormat="1" applyFont="1" applyFill="1" applyBorder="1" applyAlignment="1">
      <alignment horizontal="center" vertical="center"/>
    </xf>
    <xf numFmtId="6" fontId="33" fillId="5" borderId="0" xfId="1" applyNumberFormat="1" applyFont="1" applyFill="1" applyAlignment="1">
      <alignment horizontal="center" vertical="center"/>
    </xf>
    <xf numFmtId="0" fontId="36" fillId="0" borderId="15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29" fillId="3" borderId="0" xfId="0" applyFont="1" applyFill="1" applyAlignment="1">
      <alignment horizontal="center" vertical="center" wrapText="1"/>
    </xf>
  </cellXfs>
  <cellStyles count="9">
    <cellStyle name="一般" xfId="0" builtinId="0"/>
    <cellStyle name="一般 2" xfId="3" xr:uid="{FBA9E251-028F-472B-96BB-5C696CB61CA2}"/>
    <cellStyle name="一般_營業部" xfId="6" xr:uid="{A04C90FC-CEE1-49B5-84DF-1354FA896D93}"/>
    <cellStyle name="百分比" xfId="2" builtinId="5"/>
    <cellStyle name="百分比 2" xfId="4" xr:uid="{68ED7CEA-CE87-4274-9433-8020E0E7D176}"/>
    <cellStyle name="貨幣" xfId="1" builtinId="4"/>
    <cellStyle name="貨幣 2" xfId="5" xr:uid="{7099A1A7-8348-4646-BF7D-D06CA68EBFC5}"/>
    <cellStyle name="貨幣 2 2" xfId="7" xr:uid="{09C078AF-BAB0-4044-99CF-99DCC500A147}"/>
    <cellStyle name="超連結" xfId="8" builtinId="8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0" formatCode="&quot;$&quot;#,##0_);[Red]\(&quot;$&quot;#,##0\)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color rgb="FF000000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3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618956</xdr:colOff>
      <xdr:row>6</xdr:row>
      <xdr:rowOff>166856</xdr:rowOff>
    </xdr:from>
    <xdr:to>
      <xdr:col>19</xdr:col>
      <xdr:colOff>484893</xdr:colOff>
      <xdr:row>51</xdr:row>
      <xdr:rowOff>127706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5B357230-8FC2-29E6-3AD1-0ED233089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5262562" y="2857500"/>
          <a:ext cx="8533350" cy="5438062"/>
        </a:xfrm>
        <a:prstGeom prst="rect">
          <a:avLst/>
        </a:prstGeom>
      </xdr:spPr>
    </xdr:pic>
    <xdr:clientData/>
  </xdr:twoCellAnchor>
  <xdr:twoCellAnchor editAs="oneCell">
    <xdr:from>
      <xdr:col>0</xdr:col>
      <xdr:colOff>457045</xdr:colOff>
      <xdr:row>6</xdr:row>
      <xdr:rowOff>143036</xdr:rowOff>
    </xdr:from>
    <xdr:to>
      <xdr:col>10</xdr:col>
      <xdr:colOff>65806</xdr:colOff>
      <xdr:row>47</xdr:row>
      <xdr:rowOff>170582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E0D46BF7-EF07-D17D-D39A-827BCB86F5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-561972" y="2305053"/>
          <a:ext cx="7838046" cy="5800011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20</xdr:row>
      <xdr:rowOff>24848</xdr:rowOff>
    </xdr:from>
    <xdr:to>
      <xdr:col>5</xdr:col>
      <xdr:colOff>240196</xdr:colOff>
      <xdr:row>29</xdr:row>
      <xdr:rowOff>24847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6A09B88-28AE-43C0-39B9-1B354E1445B9}"/>
            </a:ext>
          </a:extLst>
        </xdr:cNvPr>
        <xdr:cNvSpPr/>
      </xdr:nvSpPr>
      <xdr:spPr>
        <a:xfrm>
          <a:off x="612913" y="4000500"/>
          <a:ext cx="2691848" cy="1789043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57150</xdr:rowOff>
    </xdr:from>
    <xdr:to>
      <xdr:col>15</xdr:col>
      <xdr:colOff>265528</xdr:colOff>
      <xdr:row>25</xdr:row>
      <xdr:rowOff>180334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255C47A-5EDD-BB9B-12CD-449A8D53A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57150"/>
          <a:ext cx="9371428" cy="512380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inopacgroup.sharepoint.com/Documents%20and%20Settings/A03300.SINOPACHD/Local%20Settings/Temporary%20Internet%20Files/OLK12E/94&#38928;&#31639;-&#37329;&#25511;&#24213;&#31295;-93093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inopacgroup.sharepoint.com/TEMP/&#21508;&#37096;&#38272;&#38928;&#31639;&#32232;&#35069;&#34920;&#26684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inopacgroup.sharepoint.com/&#35613;&#38597;&#33805;/&#33775;&#20449;&#37504;&#34892;/&#38928;&#31639;/&#29151;&#26989;&#37096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inopacgroup.sharepoint.com/Documents%20and%20Settings/A03300.SINOPACHD/Local%20Settings/Temporary%20Internet%20Files/OLK12E/94&#38928;&#31639;-&#37329;&#25511;&#24213;&#31295;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16510\Desktop\New%20Matt\(4)&#25976;&#20301;&#36939;&#29151;&#22519;&#34892;\&#12304;&#37329;&#25511;&#38928;&#31639;&#12305;\2026&#24180;\2026&#24180;&#25976;&#20301;&#31185;&#25216;&#34389;&#21508;&#32068;&#38928;&#31639;&#32232;&#21015;_Matt_20250903.xlsx" TargetMode="External"/><Relationship Id="rId1" Type="http://schemas.openxmlformats.org/officeDocument/2006/relationships/externalLinkPath" Target="https://sinopacgroup.sharepoint.com/sites/msteams_a6076b-sync-holdings/Shared%20Documents/Tasks/(quarterly)%20&#38928;&#31639;&amp;&#22519;&#34892;&#35336;&#30059;/&#24180;&#24230;&#38928;&#31639;&#32232;&#21015;/2026&#24180;/2026&#24180;&#25976;&#20301;&#31185;&#25216;&#34389;&#21508;&#32068;&#38928;&#31639;&#32232;&#21015;_Matt_202509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資本支出彙總表 (2)"/>
      <sheetName val="總表"/>
      <sheetName val="產品別收支彙總表"/>
      <sheetName val="費用明細表"/>
      <sheetName val="土地及房屋建築"/>
      <sheetName val="機械設備"/>
      <sheetName val="交通及運輸設備"/>
      <sheetName val="雜項設備"/>
      <sheetName val="電腦軟體"/>
      <sheetName val="資本支出彙總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費用明細表"/>
      <sheetName val="主畫面"/>
      <sheetName val="機械設備"/>
      <sheetName val="房屋及建築"/>
      <sheetName val="交通及運輸設備"/>
      <sheetName val="雜項設備"/>
      <sheetName val="電腦軟體"/>
      <sheetName val="資本支出彙總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主畫面"/>
      <sheetName val="總表"/>
      <sheetName val="平均餘額收支彙總表"/>
      <sheetName val="費用明細表"/>
      <sheetName val="附表"/>
      <sheetName val="房屋及建築"/>
      <sheetName val="機械設備"/>
      <sheetName val="交通及運輸設備"/>
      <sheetName val="雜項設備"/>
      <sheetName val="電腦軟體"/>
      <sheetName val="資本支出彙總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主畫面"/>
      <sheetName val="總表"/>
      <sheetName val="營業收支表"/>
      <sheetName val="費用明細表"/>
      <sheetName val="資訊設備"/>
      <sheetName val="交通及運輸設備"/>
      <sheetName val="辦公設備 "/>
      <sheetName val="雜項設備"/>
      <sheetName val="租賃權益改良"/>
      <sheetName val="電腦軟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【各組】2026年預算編列"/>
      <sheetName val="【參考用】【各組】2025年預算編列"/>
    </sheetNames>
    <sheetDataSet>
      <sheetData sheetId="0"/>
      <sheetData sheetId="1">
        <row r="14">
          <cell r="E14">
            <v>3043.7</v>
          </cell>
        </row>
        <row r="20">
          <cell r="E20">
            <v>4030</v>
          </cell>
        </row>
        <row r="24">
          <cell r="E24">
            <v>3000</v>
          </cell>
        </row>
        <row r="35">
          <cell r="E35">
            <v>3320</v>
          </cell>
        </row>
        <row r="36">
          <cell r="E36">
            <v>13393.7</v>
          </cell>
        </row>
        <row r="42">
          <cell r="E42">
            <v>0</v>
          </cell>
        </row>
        <row r="51">
          <cell r="E51">
            <v>4600</v>
          </cell>
        </row>
        <row r="52">
          <cell r="E52">
            <v>4600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劉德偉-數位金融處-永豐銀行" id="{38B1EF4B-F20E-47E7-A8E5-36C0325F4054}" userId="S::mattliu@sinopac.com::0d278573-3523-4377-b833-56c6fe77a501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E2AE87-C2E9-4A4B-A9F2-296BEC5950C8}" name="表格1_3" displayName="表格1_3" ref="B3:E16" totalsRowShown="0" headerRowDxfId="5" dataDxfId="4">
  <autoFilter ref="B3:E16" xr:uid="{03228708-1C3C-41D1-807E-F0532B54C99B}"/>
  <sortState xmlns:xlrd2="http://schemas.microsoft.com/office/spreadsheetml/2017/richdata2" ref="B4:E16">
    <sortCondition descending="1" ref="E3:E16"/>
  </sortState>
  <tableColumns count="4">
    <tableColumn id="1" xr3:uid="{783485A2-0E7E-44B6-ABA0-82EDB4A1D24F}" name="排序" dataDxfId="3"/>
    <tableColumn id="2" xr3:uid="{62151CBE-BE07-4DB2-B0B9-893AD0201F27}" name="單位" dataDxfId="2"/>
    <tableColumn id="3" xr3:uid="{C32BF370-5784-4E19-B580-949F594972BB}" name="年度預算金額(仟元)" dataDxfId="1" dataCellStyle="貨幣"/>
    <tableColumn id="4" xr3:uid="{AF01B271-00C9-48BF-ADF6-E7634C91A3C0}" name="動支率(%)" dataDxfId="0" dataCellStyle="百分比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8" dT="2024-10-09T01:54:04.24" personId="{38B1EF4B-F20E-47E7-A8E5-36C0325F4054}" id="{7792DF7E-5317-426E-8932-42766BF21AFB}">
    <text>根據各組預計使用寫入</text>
  </threadedComment>
  <threadedComment ref="N18" dT="2024-10-09T02:22:51.72" personId="{38B1EF4B-F20E-47E7-A8E5-36C0325F4054}" id="{F2D8A42D-390D-4A10-B8F2-29A3F131CFB6}">
    <text>根據各組編列寫入</text>
  </threadedComment>
  <threadedComment ref="L56" dT="2024-10-09T02:05:14.93" personId="{38B1EF4B-F20E-47E7-A8E5-36C0325F4054}" id="{D0ECE670-1FC9-4FD8-9AF3-7E43B664F263}">
    <text>根據各組預計使用寫入</text>
  </threadedComment>
  <threadedComment ref="N56" dT="2024-10-09T03:54:58.35" personId="{38B1EF4B-F20E-47E7-A8E5-36C0325F4054}" id="{898BA660-8458-48B3-B22C-C668C61E5566}">
    <text>根據各組編列寫入</text>
  </threadedComment>
  <threadedComment ref="N64" dT="2024-10-09T03:55:05.32" personId="{38B1EF4B-F20E-47E7-A8E5-36C0325F4054}" id="{49E11510-48C6-415E-8F3D-BF43C6008004}">
    <text>根據各組編列寫入</text>
  </threadedComment>
  <threadedComment ref="L66" dT="2024-10-09T02:06:43.27" personId="{38B1EF4B-F20E-47E7-A8E5-36C0325F4054}" id="{FA2E90A8-A717-474F-9ABF-5CB452293546}">
    <text>根據各組預計使用寫入</text>
  </threadedComment>
  <threadedComment ref="N66" dT="2024-10-09T03:55:10.79" personId="{38B1EF4B-F20E-47E7-A8E5-36C0325F4054}" id="{4B765A40-2245-4A24-AA8B-BCD83312B69C}">
    <text>根據各組編列寫入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D7F52-3A7E-4CDA-AACB-F0F34EE31E65}">
  <dimension ref="B2:G31"/>
  <sheetViews>
    <sheetView topLeftCell="A23" zoomScaleNormal="100" workbookViewId="0">
      <selection activeCell="D33" sqref="D33"/>
    </sheetView>
  </sheetViews>
  <sheetFormatPr defaultRowHeight="15"/>
  <cols>
    <col min="1" max="1" width="4.140625" customWidth="1"/>
    <col min="2" max="2" width="10.5703125" bestFit="1" customWidth="1"/>
    <col min="3" max="3" width="23.42578125" bestFit="1" customWidth="1"/>
    <col min="4" max="4" width="26.42578125" bestFit="1" customWidth="1"/>
    <col min="5" max="5" width="28.140625" bestFit="1" customWidth="1"/>
    <col min="6" max="6" width="75" customWidth="1"/>
    <col min="7" max="9" width="14.5703125" bestFit="1" customWidth="1"/>
    <col min="10" max="10" width="16" bestFit="1" customWidth="1"/>
    <col min="11" max="11" width="1.7109375" customWidth="1"/>
    <col min="12" max="12" width="12.85546875" bestFit="1" customWidth="1"/>
    <col min="13" max="13" width="2.42578125" customWidth="1"/>
    <col min="14" max="14" width="8.85546875" bestFit="1" customWidth="1"/>
  </cols>
  <sheetData>
    <row r="2" spans="2:6" ht="21.6">
      <c r="B2" s="273" t="s">
        <v>0</v>
      </c>
      <c r="C2" s="273"/>
      <c r="D2" s="273"/>
      <c r="E2" s="273"/>
    </row>
    <row r="3" spans="2:6">
      <c r="B3" s="1" t="s">
        <v>1</v>
      </c>
      <c r="C3" s="1" t="s">
        <v>2</v>
      </c>
      <c r="D3" s="1" t="s">
        <v>3</v>
      </c>
      <c r="E3" s="1" t="s">
        <v>4</v>
      </c>
    </row>
    <row r="4" spans="2:6">
      <c r="B4" s="1">
        <v>1</v>
      </c>
      <c r="C4" s="142" t="s">
        <v>5</v>
      </c>
      <c r="D4" s="136">
        <v>96668</v>
      </c>
      <c r="E4" s="137">
        <v>0.87788713948773123</v>
      </c>
    </row>
    <row r="5" spans="2:6" ht="15.6" thickBot="1">
      <c r="B5" s="1">
        <v>2</v>
      </c>
      <c r="C5" s="142" t="s">
        <v>6</v>
      </c>
      <c r="D5" s="136">
        <v>87207</v>
      </c>
      <c r="E5" s="137">
        <v>0.77292133658995266</v>
      </c>
    </row>
    <row r="6" spans="2:6" ht="15.6" thickBot="1">
      <c r="B6" s="143">
        <v>3</v>
      </c>
      <c r="C6" s="144" t="s">
        <v>7</v>
      </c>
      <c r="D6" s="145">
        <v>30242</v>
      </c>
      <c r="E6" s="146">
        <v>0.53567052443621455</v>
      </c>
    </row>
    <row r="7" spans="2:6">
      <c r="B7" s="1">
        <v>4</v>
      </c>
      <c r="C7" s="142" t="s">
        <v>8</v>
      </c>
      <c r="D7" s="136">
        <v>17285.849999999999</v>
      </c>
      <c r="E7" s="137">
        <v>0.52762230379182973</v>
      </c>
    </row>
    <row r="8" spans="2:6">
      <c r="B8" s="1">
        <v>5</v>
      </c>
      <c r="C8" s="142" t="s">
        <v>9</v>
      </c>
      <c r="D8" s="136">
        <v>338756.2</v>
      </c>
      <c r="E8" s="137">
        <v>0.51976315119841343</v>
      </c>
    </row>
    <row r="9" spans="2:6">
      <c r="B9" s="1">
        <v>6</v>
      </c>
      <c r="C9" s="142" t="s">
        <v>10</v>
      </c>
      <c r="D9" s="136">
        <v>15390.893</v>
      </c>
      <c r="E9" s="137">
        <v>0.44162447234218316</v>
      </c>
      <c r="F9" s="147"/>
    </row>
    <row r="10" spans="2:6">
      <c r="B10" s="1">
        <v>7</v>
      </c>
      <c r="C10" s="142" t="s">
        <v>11</v>
      </c>
      <c r="D10" s="136">
        <v>15550.5</v>
      </c>
      <c r="E10" s="137">
        <v>0.41747300729880066</v>
      </c>
    </row>
    <row r="11" spans="2:6">
      <c r="B11" s="1">
        <v>8</v>
      </c>
      <c r="C11" s="142" t="s">
        <v>12</v>
      </c>
      <c r="D11" s="138">
        <v>1100</v>
      </c>
      <c r="E11" s="139">
        <v>0.37838545454545452</v>
      </c>
    </row>
    <row r="12" spans="2:6">
      <c r="B12" s="1">
        <v>9</v>
      </c>
      <c r="C12" s="142" t="s">
        <v>13</v>
      </c>
      <c r="D12" s="138">
        <v>29358</v>
      </c>
      <c r="E12" s="139">
        <v>0.35849850126030386</v>
      </c>
    </row>
    <row r="13" spans="2:6">
      <c r="B13" s="1">
        <v>10</v>
      </c>
      <c r="C13" s="142" t="s">
        <v>14</v>
      </c>
      <c r="D13" s="136">
        <v>4504</v>
      </c>
      <c r="E13" s="137">
        <v>0.35783214920071049</v>
      </c>
    </row>
    <row r="14" spans="2:6">
      <c r="B14" s="1">
        <v>11</v>
      </c>
      <c r="C14" s="142" t="s">
        <v>15</v>
      </c>
      <c r="D14" s="136">
        <v>2112</v>
      </c>
      <c r="E14" s="137">
        <v>0.34245596590909094</v>
      </c>
    </row>
    <row r="15" spans="2:6">
      <c r="B15" s="1">
        <v>12</v>
      </c>
      <c r="C15" s="142" t="s">
        <v>16</v>
      </c>
      <c r="D15" s="136">
        <v>9022</v>
      </c>
      <c r="E15" s="137">
        <v>0.31717435158501439</v>
      </c>
    </row>
    <row r="16" spans="2:6">
      <c r="B16" s="1">
        <v>13</v>
      </c>
      <c r="C16" s="142" t="s">
        <v>17</v>
      </c>
      <c r="D16" s="136">
        <v>69880</v>
      </c>
      <c r="E16" s="137">
        <v>0.17503172581568405</v>
      </c>
    </row>
    <row r="17" spans="2:7" ht="15.6">
      <c r="B17" s="1"/>
      <c r="C17" s="141"/>
      <c r="D17" s="136">
        <f>SUBTOTAL(109,表格1_3[年度預算金額(仟元)])</f>
        <v>717076.44300000009</v>
      </c>
      <c r="E17" s="137">
        <f>SUBTOTAL(101,表格1_3[動支率(%)])</f>
        <v>0.4632569294970294</v>
      </c>
    </row>
    <row r="18" spans="2:7">
      <c r="B18" s="140"/>
      <c r="C18" s="140"/>
      <c r="D18" s="274" t="s">
        <v>18</v>
      </c>
      <c r="E18" s="275"/>
    </row>
    <row r="23" spans="2:7" ht="22.15">
      <c r="B23" s="276" t="s">
        <v>19</v>
      </c>
      <c r="C23" s="273"/>
      <c r="D23" s="273"/>
      <c r="E23" s="273"/>
    </row>
    <row r="24" spans="2:7">
      <c r="B24" s="272" t="s">
        <v>20</v>
      </c>
      <c r="C24" s="277" t="s">
        <v>21</v>
      </c>
      <c r="D24" s="277"/>
      <c r="E24" s="278" t="s">
        <v>22</v>
      </c>
      <c r="F24" s="272" t="s">
        <v>23</v>
      </c>
      <c r="G24" s="182"/>
    </row>
    <row r="25" spans="2:7">
      <c r="B25" s="272"/>
      <c r="C25" s="242" t="s">
        <v>24</v>
      </c>
      <c r="D25" s="242" t="s">
        <v>25</v>
      </c>
      <c r="E25" s="277"/>
      <c r="F25" s="272"/>
      <c r="G25" s="182"/>
    </row>
    <row r="26" spans="2:7" ht="51.75" customHeight="1">
      <c r="B26" s="249">
        <v>2026</v>
      </c>
      <c r="C26" s="243">
        <f>【全處】2026年預算編列!N89</f>
        <v>40051.4</v>
      </c>
      <c r="D26" s="250" t="s">
        <v>26</v>
      </c>
      <c r="E26" s="243">
        <f>【全處】2026年預算編列!N97</f>
        <v>11520</v>
      </c>
      <c r="F26" s="248" t="s">
        <v>27</v>
      </c>
      <c r="G26" s="182"/>
    </row>
    <row r="27" spans="2:7">
      <c r="B27" s="241">
        <v>2025</v>
      </c>
      <c r="C27" s="244">
        <v>43242</v>
      </c>
      <c r="D27" s="244">
        <v>30242</v>
      </c>
      <c r="E27" s="244">
        <v>5200</v>
      </c>
      <c r="F27" s="245" t="s">
        <v>28</v>
      </c>
      <c r="G27" s="183"/>
    </row>
    <row r="28" spans="2:7">
      <c r="B28" s="241">
        <v>2024</v>
      </c>
      <c r="C28" s="244">
        <f>D28/0.8</f>
        <v>45183.75</v>
      </c>
      <c r="D28" s="244">
        <v>36147</v>
      </c>
      <c r="E28" s="244">
        <v>17500</v>
      </c>
      <c r="F28" s="245" t="s">
        <v>29</v>
      </c>
    </row>
    <row r="29" spans="2:7">
      <c r="B29" s="241">
        <v>2023</v>
      </c>
      <c r="C29" s="244">
        <f>D29/0.62</f>
        <v>44764.516129032258</v>
      </c>
      <c r="D29" s="246">
        <v>27754</v>
      </c>
      <c r="E29" s="246">
        <v>25100</v>
      </c>
      <c r="F29" s="245" t="s">
        <v>30</v>
      </c>
    </row>
    <row r="30" spans="2:7">
      <c r="B30" s="241">
        <v>2022</v>
      </c>
      <c r="C30" s="244">
        <f>D30/0.8</f>
        <v>56638.75</v>
      </c>
      <c r="D30" s="246">
        <v>45311</v>
      </c>
      <c r="E30" s="246">
        <v>32650</v>
      </c>
      <c r="F30" s="245" t="s">
        <v>29</v>
      </c>
    </row>
    <row r="31" spans="2:7">
      <c r="B31" s="241">
        <v>2021</v>
      </c>
      <c r="C31" s="246">
        <v>31000</v>
      </c>
      <c r="D31" s="246">
        <v>31000</v>
      </c>
      <c r="E31" s="246">
        <v>48031</v>
      </c>
      <c r="F31" s="247"/>
    </row>
  </sheetData>
  <mergeCells count="7">
    <mergeCell ref="F24:F25"/>
    <mergeCell ref="B2:E2"/>
    <mergeCell ref="D18:E18"/>
    <mergeCell ref="B23:E23"/>
    <mergeCell ref="C24:D24"/>
    <mergeCell ref="E24:E25"/>
    <mergeCell ref="B24:B25"/>
  </mergeCells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503D9-E54B-4655-834E-A85AF4048F6D}">
  <dimension ref="B1:R107"/>
  <sheetViews>
    <sheetView tabSelected="1" zoomScale="80" zoomScaleNormal="80" workbookViewId="0">
      <pane ySplit="3" topLeftCell="A4" activePane="bottomLeft" state="frozen"/>
      <selection pane="bottomLeft" activeCell="Q5" sqref="Q5"/>
    </sheetView>
  </sheetViews>
  <sheetFormatPr defaultColWidth="10" defaultRowHeight="15" outlineLevelRow="1"/>
  <cols>
    <col min="1" max="1" width="2.7109375" style="33" customWidth="1"/>
    <col min="2" max="2" width="35" style="33" hidden="1" customWidth="1"/>
    <col min="3" max="4" width="16.140625" style="33" hidden="1" customWidth="1"/>
    <col min="5" max="5" width="16.7109375" style="33" bestFit="1" customWidth="1"/>
    <col min="6" max="6" width="45.7109375" style="33" bestFit="1" customWidth="1"/>
    <col min="7" max="7" width="19.5703125" style="33" hidden="1" customWidth="1"/>
    <col min="8" max="8" width="8" style="33" hidden="1" customWidth="1"/>
    <col min="9" max="9" width="16" style="33" hidden="1" customWidth="1"/>
    <col min="10" max="10" width="13.42578125" style="49" hidden="1" customWidth="1"/>
    <col min="11" max="11" width="12.28515625" style="33" hidden="1" customWidth="1"/>
    <col min="12" max="12" width="11.42578125" style="33" hidden="1" customWidth="1"/>
    <col min="13" max="13" width="13" style="33" hidden="1" customWidth="1"/>
    <col min="14" max="14" width="13.42578125" style="33" bestFit="1" customWidth="1"/>
    <col min="15" max="15" width="7.85546875" style="33" bestFit="1" customWidth="1"/>
    <col min="16" max="16" width="15" style="33" bestFit="1" customWidth="1"/>
    <col min="17" max="17" width="109.5703125" style="33" customWidth="1"/>
    <col min="18" max="18" width="18.7109375" style="33" customWidth="1"/>
    <col min="19" max="254" width="10" style="33"/>
    <col min="255" max="255" width="2.7109375" style="33" customWidth="1"/>
    <col min="256" max="258" width="0" style="33" hidden="1" customWidth="1"/>
    <col min="259" max="259" width="16.140625" style="33" bestFit="1" customWidth="1"/>
    <col min="260" max="260" width="48" style="33" bestFit="1" customWidth="1"/>
    <col min="261" max="261" width="18" style="33" bestFit="1" customWidth="1"/>
    <col min="262" max="262" width="17.28515625" style="33" bestFit="1" customWidth="1"/>
    <col min="263" max="263" width="11.140625" style="33" bestFit="1" customWidth="1"/>
    <col min="264" max="264" width="12.28515625" style="33" bestFit="1" customWidth="1"/>
    <col min="265" max="265" width="7" style="33" customWidth="1"/>
    <col min="266" max="266" width="13.28515625" style="33" customWidth="1"/>
    <col min="267" max="267" width="18.7109375" style="33" customWidth="1"/>
    <col min="268" max="268" width="13.85546875" style="33" bestFit="1" customWidth="1"/>
    <col min="269" max="269" width="10" style="33"/>
    <col min="270" max="270" width="14.140625" style="33" bestFit="1" customWidth="1"/>
    <col min="271" max="510" width="10" style="33"/>
    <col min="511" max="511" width="2.7109375" style="33" customWidth="1"/>
    <col min="512" max="514" width="0" style="33" hidden="1" customWidth="1"/>
    <col min="515" max="515" width="16.140625" style="33" bestFit="1" customWidth="1"/>
    <col min="516" max="516" width="48" style="33" bestFit="1" customWidth="1"/>
    <col min="517" max="517" width="18" style="33" bestFit="1" customWidth="1"/>
    <col min="518" max="518" width="17.28515625" style="33" bestFit="1" customWidth="1"/>
    <col min="519" max="519" width="11.140625" style="33" bestFit="1" customWidth="1"/>
    <col min="520" max="520" width="12.28515625" style="33" bestFit="1" customWidth="1"/>
    <col min="521" max="521" width="7" style="33" customWidth="1"/>
    <col min="522" max="522" width="13.28515625" style="33" customWidth="1"/>
    <col min="523" max="523" width="18.7109375" style="33" customWidth="1"/>
    <col min="524" max="524" width="13.85546875" style="33" bestFit="1" customWidth="1"/>
    <col min="525" max="525" width="10" style="33"/>
    <col min="526" max="526" width="14.140625" style="33" bestFit="1" customWidth="1"/>
    <col min="527" max="766" width="10" style="33"/>
    <col min="767" max="767" width="2.7109375" style="33" customWidth="1"/>
    <col min="768" max="770" width="0" style="33" hidden="1" customWidth="1"/>
    <col min="771" max="771" width="16.140625" style="33" bestFit="1" customWidth="1"/>
    <col min="772" max="772" width="48" style="33" bestFit="1" customWidth="1"/>
    <col min="773" max="773" width="18" style="33" bestFit="1" customWidth="1"/>
    <col min="774" max="774" width="17.28515625" style="33" bestFit="1" customWidth="1"/>
    <col min="775" max="775" width="11.140625" style="33" bestFit="1" customWidth="1"/>
    <col min="776" max="776" width="12.28515625" style="33" bestFit="1" customWidth="1"/>
    <col min="777" max="777" width="7" style="33" customWidth="1"/>
    <col min="778" max="778" width="13.28515625" style="33" customWidth="1"/>
    <col min="779" max="779" width="18.7109375" style="33" customWidth="1"/>
    <col min="780" max="780" width="13.85546875" style="33" bestFit="1" customWidth="1"/>
    <col min="781" max="781" width="10" style="33"/>
    <col min="782" max="782" width="14.140625" style="33" bestFit="1" customWidth="1"/>
    <col min="783" max="1022" width="10" style="33"/>
    <col min="1023" max="1023" width="2.7109375" style="33" customWidth="1"/>
    <col min="1024" max="1026" width="0" style="33" hidden="1" customWidth="1"/>
    <col min="1027" max="1027" width="16.140625" style="33" bestFit="1" customWidth="1"/>
    <col min="1028" max="1028" width="48" style="33" bestFit="1" customWidth="1"/>
    <col min="1029" max="1029" width="18" style="33" bestFit="1" customWidth="1"/>
    <col min="1030" max="1030" width="17.28515625" style="33" bestFit="1" customWidth="1"/>
    <col min="1031" max="1031" width="11.140625" style="33" bestFit="1" customWidth="1"/>
    <col min="1032" max="1032" width="12.28515625" style="33" bestFit="1" customWidth="1"/>
    <col min="1033" max="1033" width="7" style="33" customWidth="1"/>
    <col min="1034" max="1034" width="13.28515625" style="33" customWidth="1"/>
    <col min="1035" max="1035" width="18.7109375" style="33" customWidth="1"/>
    <col min="1036" max="1036" width="13.85546875" style="33" bestFit="1" customWidth="1"/>
    <col min="1037" max="1037" width="10" style="33"/>
    <col min="1038" max="1038" width="14.140625" style="33" bestFit="1" customWidth="1"/>
    <col min="1039" max="1278" width="10" style="33"/>
    <col min="1279" max="1279" width="2.7109375" style="33" customWidth="1"/>
    <col min="1280" max="1282" width="0" style="33" hidden="1" customWidth="1"/>
    <col min="1283" max="1283" width="16.140625" style="33" bestFit="1" customWidth="1"/>
    <col min="1284" max="1284" width="48" style="33" bestFit="1" customWidth="1"/>
    <col min="1285" max="1285" width="18" style="33" bestFit="1" customWidth="1"/>
    <col min="1286" max="1286" width="17.28515625" style="33" bestFit="1" customWidth="1"/>
    <col min="1287" max="1287" width="11.140625" style="33" bestFit="1" customWidth="1"/>
    <col min="1288" max="1288" width="12.28515625" style="33" bestFit="1" customWidth="1"/>
    <col min="1289" max="1289" width="7" style="33" customWidth="1"/>
    <col min="1290" max="1290" width="13.28515625" style="33" customWidth="1"/>
    <col min="1291" max="1291" width="18.7109375" style="33" customWidth="1"/>
    <col min="1292" max="1292" width="13.85546875" style="33" bestFit="1" customWidth="1"/>
    <col min="1293" max="1293" width="10" style="33"/>
    <col min="1294" max="1294" width="14.140625" style="33" bestFit="1" customWidth="1"/>
    <col min="1295" max="1534" width="10" style="33"/>
    <col min="1535" max="1535" width="2.7109375" style="33" customWidth="1"/>
    <col min="1536" max="1538" width="0" style="33" hidden="1" customWidth="1"/>
    <col min="1539" max="1539" width="16.140625" style="33" bestFit="1" customWidth="1"/>
    <col min="1540" max="1540" width="48" style="33" bestFit="1" customWidth="1"/>
    <col min="1541" max="1541" width="18" style="33" bestFit="1" customWidth="1"/>
    <col min="1542" max="1542" width="17.28515625" style="33" bestFit="1" customWidth="1"/>
    <col min="1543" max="1543" width="11.140625" style="33" bestFit="1" customWidth="1"/>
    <col min="1544" max="1544" width="12.28515625" style="33" bestFit="1" customWidth="1"/>
    <col min="1545" max="1545" width="7" style="33" customWidth="1"/>
    <col min="1546" max="1546" width="13.28515625" style="33" customWidth="1"/>
    <col min="1547" max="1547" width="18.7109375" style="33" customWidth="1"/>
    <col min="1548" max="1548" width="13.85546875" style="33" bestFit="1" customWidth="1"/>
    <col min="1549" max="1549" width="10" style="33"/>
    <col min="1550" max="1550" width="14.140625" style="33" bestFit="1" customWidth="1"/>
    <col min="1551" max="1790" width="10" style="33"/>
    <col min="1791" max="1791" width="2.7109375" style="33" customWidth="1"/>
    <col min="1792" max="1794" width="0" style="33" hidden="1" customWidth="1"/>
    <col min="1795" max="1795" width="16.140625" style="33" bestFit="1" customWidth="1"/>
    <col min="1796" max="1796" width="48" style="33" bestFit="1" customWidth="1"/>
    <col min="1797" max="1797" width="18" style="33" bestFit="1" customWidth="1"/>
    <col min="1798" max="1798" width="17.28515625" style="33" bestFit="1" customWidth="1"/>
    <col min="1799" max="1799" width="11.140625" style="33" bestFit="1" customWidth="1"/>
    <col min="1800" max="1800" width="12.28515625" style="33" bestFit="1" customWidth="1"/>
    <col min="1801" max="1801" width="7" style="33" customWidth="1"/>
    <col min="1802" max="1802" width="13.28515625" style="33" customWidth="1"/>
    <col min="1803" max="1803" width="18.7109375" style="33" customWidth="1"/>
    <col min="1804" max="1804" width="13.85546875" style="33" bestFit="1" customWidth="1"/>
    <col min="1805" max="1805" width="10" style="33"/>
    <col min="1806" max="1806" width="14.140625" style="33" bestFit="1" customWidth="1"/>
    <col min="1807" max="2046" width="10" style="33"/>
    <col min="2047" max="2047" width="2.7109375" style="33" customWidth="1"/>
    <col min="2048" max="2050" width="0" style="33" hidden="1" customWidth="1"/>
    <col min="2051" max="2051" width="16.140625" style="33" bestFit="1" customWidth="1"/>
    <col min="2052" max="2052" width="48" style="33" bestFit="1" customWidth="1"/>
    <col min="2053" max="2053" width="18" style="33" bestFit="1" customWidth="1"/>
    <col min="2054" max="2054" width="17.28515625" style="33" bestFit="1" customWidth="1"/>
    <col min="2055" max="2055" width="11.140625" style="33" bestFit="1" customWidth="1"/>
    <col min="2056" max="2056" width="12.28515625" style="33" bestFit="1" customWidth="1"/>
    <col min="2057" max="2057" width="7" style="33" customWidth="1"/>
    <col min="2058" max="2058" width="13.28515625" style="33" customWidth="1"/>
    <col min="2059" max="2059" width="18.7109375" style="33" customWidth="1"/>
    <col min="2060" max="2060" width="13.85546875" style="33" bestFit="1" customWidth="1"/>
    <col min="2061" max="2061" width="10" style="33"/>
    <col min="2062" max="2062" width="14.140625" style="33" bestFit="1" customWidth="1"/>
    <col min="2063" max="2302" width="10" style="33"/>
    <col min="2303" max="2303" width="2.7109375" style="33" customWidth="1"/>
    <col min="2304" max="2306" width="0" style="33" hidden="1" customWidth="1"/>
    <col min="2307" max="2307" width="16.140625" style="33" bestFit="1" customWidth="1"/>
    <col min="2308" max="2308" width="48" style="33" bestFit="1" customWidth="1"/>
    <col min="2309" max="2309" width="18" style="33" bestFit="1" customWidth="1"/>
    <col min="2310" max="2310" width="17.28515625" style="33" bestFit="1" customWidth="1"/>
    <col min="2311" max="2311" width="11.140625" style="33" bestFit="1" customWidth="1"/>
    <col min="2312" max="2312" width="12.28515625" style="33" bestFit="1" customWidth="1"/>
    <col min="2313" max="2313" width="7" style="33" customWidth="1"/>
    <col min="2314" max="2314" width="13.28515625" style="33" customWidth="1"/>
    <col min="2315" max="2315" width="18.7109375" style="33" customWidth="1"/>
    <col min="2316" max="2316" width="13.85546875" style="33" bestFit="1" customWidth="1"/>
    <col min="2317" max="2317" width="10" style="33"/>
    <col min="2318" max="2318" width="14.140625" style="33" bestFit="1" customWidth="1"/>
    <col min="2319" max="2558" width="10" style="33"/>
    <col min="2559" max="2559" width="2.7109375" style="33" customWidth="1"/>
    <col min="2560" max="2562" width="0" style="33" hidden="1" customWidth="1"/>
    <col min="2563" max="2563" width="16.140625" style="33" bestFit="1" customWidth="1"/>
    <col min="2564" max="2564" width="48" style="33" bestFit="1" customWidth="1"/>
    <col min="2565" max="2565" width="18" style="33" bestFit="1" customWidth="1"/>
    <col min="2566" max="2566" width="17.28515625" style="33" bestFit="1" customWidth="1"/>
    <col min="2567" max="2567" width="11.140625" style="33" bestFit="1" customWidth="1"/>
    <col min="2568" max="2568" width="12.28515625" style="33" bestFit="1" customWidth="1"/>
    <col min="2569" max="2569" width="7" style="33" customWidth="1"/>
    <col min="2570" max="2570" width="13.28515625" style="33" customWidth="1"/>
    <col min="2571" max="2571" width="18.7109375" style="33" customWidth="1"/>
    <col min="2572" max="2572" width="13.85546875" style="33" bestFit="1" customWidth="1"/>
    <col min="2573" max="2573" width="10" style="33"/>
    <col min="2574" max="2574" width="14.140625" style="33" bestFit="1" customWidth="1"/>
    <col min="2575" max="2814" width="10" style="33"/>
    <col min="2815" max="2815" width="2.7109375" style="33" customWidth="1"/>
    <col min="2816" max="2818" width="0" style="33" hidden="1" customWidth="1"/>
    <col min="2819" max="2819" width="16.140625" style="33" bestFit="1" customWidth="1"/>
    <col min="2820" max="2820" width="48" style="33" bestFit="1" customWidth="1"/>
    <col min="2821" max="2821" width="18" style="33" bestFit="1" customWidth="1"/>
    <col min="2822" max="2822" width="17.28515625" style="33" bestFit="1" customWidth="1"/>
    <col min="2823" max="2823" width="11.140625" style="33" bestFit="1" customWidth="1"/>
    <col min="2824" max="2824" width="12.28515625" style="33" bestFit="1" customWidth="1"/>
    <col min="2825" max="2825" width="7" style="33" customWidth="1"/>
    <col min="2826" max="2826" width="13.28515625" style="33" customWidth="1"/>
    <col min="2827" max="2827" width="18.7109375" style="33" customWidth="1"/>
    <col min="2828" max="2828" width="13.85546875" style="33" bestFit="1" customWidth="1"/>
    <col min="2829" max="2829" width="10" style="33"/>
    <col min="2830" max="2830" width="14.140625" style="33" bestFit="1" customWidth="1"/>
    <col min="2831" max="3070" width="10" style="33"/>
    <col min="3071" max="3071" width="2.7109375" style="33" customWidth="1"/>
    <col min="3072" max="3074" width="0" style="33" hidden="1" customWidth="1"/>
    <col min="3075" max="3075" width="16.140625" style="33" bestFit="1" customWidth="1"/>
    <col min="3076" max="3076" width="48" style="33" bestFit="1" customWidth="1"/>
    <col min="3077" max="3077" width="18" style="33" bestFit="1" customWidth="1"/>
    <col min="3078" max="3078" width="17.28515625" style="33" bestFit="1" customWidth="1"/>
    <col min="3079" max="3079" width="11.140625" style="33" bestFit="1" customWidth="1"/>
    <col min="3080" max="3080" width="12.28515625" style="33" bestFit="1" customWidth="1"/>
    <col min="3081" max="3081" width="7" style="33" customWidth="1"/>
    <col min="3082" max="3082" width="13.28515625" style="33" customWidth="1"/>
    <col min="3083" max="3083" width="18.7109375" style="33" customWidth="1"/>
    <col min="3084" max="3084" width="13.85546875" style="33" bestFit="1" customWidth="1"/>
    <col min="3085" max="3085" width="10" style="33"/>
    <col min="3086" max="3086" width="14.140625" style="33" bestFit="1" customWidth="1"/>
    <col min="3087" max="3326" width="10" style="33"/>
    <col min="3327" max="3327" width="2.7109375" style="33" customWidth="1"/>
    <col min="3328" max="3330" width="0" style="33" hidden="1" customWidth="1"/>
    <col min="3331" max="3331" width="16.140625" style="33" bestFit="1" customWidth="1"/>
    <col min="3332" max="3332" width="48" style="33" bestFit="1" customWidth="1"/>
    <col min="3333" max="3333" width="18" style="33" bestFit="1" customWidth="1"/>
    <col min="3334" max="3334" width="17.28515625" style="33" bestFit="1" customWidth="1"/>
    <col min="3335" max="3335" width="11.140625" style="33" bestFit="1" customWidth="1"/>
    <col min="3336" max="3336" width="12.28515625" style="33" bestFit="1" customWidth="1"/>
    <col min="3337" max="3337" width="7" style="33" customWidth="1"/>
    <col min="3338" max="3338" width="13.28515625" style="33" customWidth="1"/>
    <col min="3339" max="3339" width="18.7109375" style="33" customWidth="1"/>
    <col min="3340" max="3340" width="13.85546875" style="33" bestFit="1" customWidth="1"/>
    <col min="3341" max="3341" width="10" style="33"/>
    <col min="3342" max="3342" width="14.140625" style="33" bestFit="1" customWidth="1"/>
    <col min="3343" max="3582" width="10" style="33"/>
    <col min="3583" max="3583" width="2.7109375" style="33" customWidth="1"/>
    <col min="3584" max="3586" width="0" style="33" hidden="1" customWidth="1"/>
    <col min="3587" max="3587" width="16.140625" style="33" bestFit="1" customWidth="1"/>
    <col min="3588" max="3588" width="48" style="33" bestFit="1" customWidth="1"/>
    <col min="3589" max="3589" width="18" style="33" bestFit="1" customWidth="1"/>
    <col min="3590" max="3590" width="17.28515625" style="33" bestFit="1" customWidth="1"/>
    <col min="3591" max="3591" width="11.140625" style="33" bestFit="1" customWidth="1"/>
    <col min="3592" max="3592" width="12.28515625" style="33" bestFit="1" customWidth="1"/>
    <col min="3593" max="3593" width="7" style="33" customWidth="1"/>
    <col min="3594" max="3594" width="13.28515625" style="33" customWidth="1"/>
    <col min="3595" max="3595" width="18.7109375" style="33" customWidth="1"/>
    <col min="3596" max="3596" width="13.85546875" style="33" bestFit="1" customWidth="1"/>
    <col min="3597" max="3597" width="10" style="33"/>
    <col min="3598" max="3598" width="14.140625" style="33" bestFit="1" customWidth="1"/>
    <col min="3599" max="3838" width="10" style="33"/>
    <col min="3839" max="3839" width="2.7109375" style="33" customWidth="1"/>
    <col min="3840" max="3842" width="0" style="33" hidden="1" customWidth="1"/>
    <col min="3843" max="3843" width="16.140625" style="33" bestFit="1" customWidth="1"/>
    <col min="3844" max="3844" width="48" style="33" bestFit="1" customWidth="1"/>
    <col min="3845" max="3845" width="18" style="33" bestFit="1" customWidth="1"/>
    <col min="3846" max="3846" width="17.28515625" style="33" bestFit="1" customWidth="1"/>
    <col min="3847" max="3847" width="11.140625" style="33" bestFit="1" customWidth="1"/>
    <col min="3848" max="3848" width="12.28515625" style="33" bestFit="1" customWidth="1"/>
    <col min="3849" max="3849" width="7" style="33" customWidth="1"/>
    <col min="3850" max="3850" width="13.28515625" style="33" customWidth="1"/>
    <col min="3851" max="3851" width="18.7109375" style="33" customWidth="1"/>
    <col min="3852" max="3852" width="13.85546875" style="33" bestFit="1" customWidth="1"/>
    <col min="3853" max="3853" width="10" style="33"/>
    <col min="3854" max="3854" width="14.140625" style="33" bestFit="1" customWidth="1"/>
    <col min="3855" max="4094" width="10" style="33"/>
    <col min="4095" max="4095" width="2.7109375" style="33" customWidth="1"/>
    <col min="4096" max="4098" width="0" style="33" hidden="1" customWidth="1"/>
    <col min="4099" max="4099" width="16.140625" style="33" bestFit="1" customWidth="1"/>
    <col min="4100" max="4100" width="48" style="33" bestFit="1" customWidth="1"/>
    <col min="4101" max="4101" width="18" style="33" bestFit="1" customWidth="1"/>
    <col min="4102" max="4102" width="17.28515625" style="33" bestFit="1" customWidth="1"/>
    <col min="4103" max="4103" width="11.140625" style="33" bestFit="1" customWidth="1"/>
    <col min="4104" max="4104" width="12.28515625" style="33" bestFit="1" customWidth="1"/>
    <col min="4105" max="4105" width="7" style="33" customWidth="1"/>
    <col min="4106" max="4106" width="13.28515625" style="33" customWidth="1"/>
    <col min="4107" max="4107" width="18.7109375" style="33" customWidth="1"/>
    <col min="4108" max="4108" width="13.85546875" style="33" bestFit="1" customWidth="1"/>
    <col min="4109" max="4109" width="10" style="33"/>
    <col min="4110" max="4110" width="14.140625" style="33" bestFit="1" customWidth="1"/>
    <col min="4111" max="4350" width="10" style="33"/>
    <col min="4351" max="4351" width="2.7109375" style="33" customWidth="1"/>
    <col min="4352" max="4354" width="0" style="33" hidden="1" customWidth="1"/>
    <col min="4355" max="4355" width="16.140625" style="33" bestFit="1" customWidth="1"/>
    <col min="4356" max="4356" width="48" style="33" bestFit="1" customWidth="1"/>
    <col min="4357" max="4357" width="18" style="33" bestFit="1" customWidth="1"/>
    <col min="4358" max="4358" width="17.28515625" style="33" bestFit="1" customWidth="1"/>
    <col min="4359" max="4359" width="11.140625" style="33" bestFit="1" customWidth="1"/>
    <col min="4360" max="4360" width="12.28515625" style="33" bestFit="1" customWidth="1"/>
    <col min="4361" max="4361" width="7" style="33" customWidth="1"/>
    <col min="4362" max="4362" width="13.28515625" style="33" customWidth="1"/>
    <col min="4363" max="4363" width="18.7109375" style="33" customWidth="1"/>
    <col min="4364" max="4364" width="13.85546875" style="33" bestFit="1" customWidth="1"/>
    <col min="4365" max="4365" width="10" style="33"/>
    <col min="4366" max="4366" width="14.140625" style="33" bestFit="1" customWidth="1"/>
    <col min="4367" max="4606" width="10" style="33"/>
    <col min="4607" max="4607" width="2.7109375" style="33" customWidth="1"/>
    <col min="4608" max="4610" width="0" style="33" hidden="1" customWidth="1"/>
    <col min="4611" max="4611" width="16.140625" style="33" bestFit="1" customWidth="1"/>
    <col min="4612" max="4612" width="48" style="33" bestFit="1" customWidth="1"/>
    <col min="4613" max="4613" width="18" style="33" bestFit="1" customWidth="1"/>
    <col min="4614" max="4614" width="17.28515625" style="33" bestFit="1" customWidth="1"/>
    <col min="4615" max="4615" width="11.140625" style="33" bestFit="1" customWidth="1"/>
    <col min="4616" max="4616" width="12.28515625" style="33" bestFit="1" customWidth="1"/>
    <col min="4617" max="4617" width="7" style="33" customWidth="1"/>
    <col min="4618" max="4618" width="13.28515625" style="33" customWidth="1"/>
    <col min="4619" max="4619" width="18.7109375" style="33" customWidth="1"/>
    <col min="4620" max="4620" width="13.85546875" style="33" bestFit="1" customWidth="1"/>
    <col min="4621" max="4621" width="10" style="33"/>
    <col min="4622" max="4622" width="14.140625" style="33" bestFit="1" customWidth="1"/>
    <col min="4623" max="4862" width="10" style="33"/>
    <col min="4863" max="4863" width="2.7109375" style="33" customWidth="1"/>
    <col min="4864" max="4866" width="0" style="33" hidden="1" customWidth="1"/>
    <col min="4867" max="4867" width="16.140625" style="33" bestFit="1" customWidth="1"/>
    <col min="4868" max="4868" width="48" style="33" bestFit="1" customWidth="1"/>
    <col min="4869" max="4869" width="18" style="33" bestFit="1" customWidth="1"/>
    <col min="4870" max="4870" width="17.28515625" style="33" bestFit="1" customWidth="1"/>
    <col min="4871" max="4871" width="11.140625" style="33" bestFit="1" customWidth="1"/>
    <col min="4872" max="4872" width="12.28515625" style="33" bestFit="1" customWidth="1"/>
    <col min="4873" max="4873" width="7" style="33" customWidth="1"/>
    <col min="4874" max="4874" width="13.28515625" style="33" customWidth="1"/>
    <col min="4875" max="4875" width="18.7109375" style="33" customWidth="1"/>
    <col min="4876" max="4876" width="13.85546875" style="33" bestFit="1" customWidth="1"/>
    <col min="4877" max="4877" width="10" style="33"/>
    <col min="4878" max="4878" width="14.140625" style="33" bestFit="1" customWidth="1"/>
    <col min="4879" max="5118" width="10" style="33"/>
    <col min="5119" max="5119" width="2.7109375" style="33" customWidth="1"/>
    <col min="5120" max="5122" width="0" style="33" hidden="1" customWidth="1"/>
    <col min="5123" max="5123" width="16.140625" style="33" bestFit="1" customWidth="1"/>
    <col min="5124" max="5124" width="48" style="33" bestFit="1" customWidth="1"/>
    <col min="5125" max="5125" width="18" style="33" bestFit="1" customWidth="1"/>
    <col min="5126" max="5126" width="17.28515625" style="33" bestFit="1" customWidth="1"/>
    <col min="5127" max="5127" width="11.140625" style="33" bestFit="1" customWidth="1"/>
    <col min="5128" max="5128" width="12.28515625" style="33" bestFit="1" customWidth="1"/>
    <col min="5129" max="5129" width="7" style="33" customWidth="1"/>
    <col min="5130" max="5130" width="13.28515625" style="33" customWidth="1"/>
    <col min="5131" max="5131" width="18.7109375" style="33" customWidth="1"/>
    <col min="5132" max="5132" width="13.85546875" style="33" bestFit="1" customWidth="1"/>
    <col min="5133" max="5133" width="10" style="33"/>
    <col min="5134" max="5134" width="14.140625" style="33" bestFit="1" customWidth="1"/>
    <col min="5135" max="5374" width="10" style="33"/>
    <col min="5375" max="5375" width="2.7109375" style="33" customWidth="1"/>
    <col min="5376" max="5378" width="0" style="33" hidden="1" customWidth="1"/>
    <col min="5379" max="5379" width="16.140625" style="33" bestFit="1" customWidth="1"/>
    <col min="5380" max="5380" width="48" style="33" bestFit="1" customWidth="1"/>
    <col min="5381" max="5381" width="18" style="33" bestFit="1" customWidth="1"/>
    <col min="5382" max="5382" width="17.28515625" style="33" bestFit="1" customWidth="1"/>
    <col min="5383" max="5383" width="11.140625" style="33" bestFit="1" customWidth="1"/>
    <col min="5384" max="5384" width="12.28515625" style="33" bestFit="1" customWidth="1"/>
    <col min="5385" max="5385" width="7" style="33" customWidth="1"/>
    <col min="5386" max="5386" width="13.28515625" style="33" customWidth="1"/>
    <col min="5387" max="5387" width="18.7109375" style="33" customWidth="1"/>
    <col min="5388" max="5388" width="13.85546875" style="33" bestFit="1" customWidth="1"/>
    <col min="5389" max="5389" width="10" style="33"/>
    <col min="5390" max="5390" width="14.140625" style="33" bestFit="1" customWidth="1"/>
    <col min="5391" max="5630" width="10" style="33"/>
    <col min="5631" max="5631" width="2.7109375" style="33" customWidth="1"/>
    <col min="5632" max="5634" width="0" style="33" hidden="1" customWidth="1"/>
    <col min="5635" max="5635" width="16.140625" style="33" bestFit="1" customWidth="1"/>
    <col min="5636" max="5636" width="48" style="33" bestFit="1" customWidth="1"/>
    <col min="5637" max="5637" width="18" style="33" bestFit="1" customWidth="1"/>
    <col min="5638" max="5638" width="17.28515625" style="33" bestFit="1" customWidth="1"/>
    <col min="5639" max="5639" width="11.140625" style="33" bestFit="1" customWidth="1"/>
    <col min="5640" max="5640" width="12.28515625" style="33" bestFit="1" customWidth="1"/>
    <col min="5641" max="5641" width="7" style="33" customWidth="1"/>
    <col min="5642" max="5642" width="13.28515625" style="33" customWidth="1"/>
    <col min="5643" max="5643" width="18.7109375" style="33" customWidth="1"/>
    <col min="5644" max="5644" width="13.85546875" style="33" bestFit="1" customWidth="1"/>
    <col min="5645" max="5645" width="10" style="33"/>
    <col min="5646" max="5646" width="14.140625" style="33" bestFit="1" customWidth="1"/>
    <col min="5647" max="5886" width="10" style="33"/>
    <col min="5887" max="5887" width="2.7109375" style="33" customWidth="1"/>
    <col min="5888" max="5890" width="0" style="33" hidden="1" customWidth="1"/>
    <col min="5891" max="5891" width="16.140625" style="33" bestFit="1" customWidth="1"/>
    <col min="5892" max="5892" width="48" style="33" bestFit="1" customWidth="1"/>
    <col min="5893" max="5893" width="18" style="33" bestFit="1" customWidth="1"/>
    <col min="5894" max="5894" width="17.28515625" style="33" bestFit="1" customWidth="1"/>
    <col min="5895" max="5895" width="11.140625" style="33" bestFit="1" customWidth="1"/>
    <col min="5896" max="5896" width="12.28515625" style="33" bestFit="1" customWidth="1"/>
    <col min="5897" max="5897" width="7" style="33" customWidth="1"/>
    <col min="5898" max="5898" width="13.28515625" style="33" customWidth="1"/>
    <col min="5899" max="5899" width="18.7109375" style="33" customWidth="1"/>
    <col min="5900" max="5900" width="13.85546875" style="33" bestFit="1" customWidth="1"/>
    <col min="5901" max="5901" width="10" style="33"/>
    <col min="5902" max="5902" width="14.140625" style="33" bestFit="1" customWidth="1"/>
    <col min="5903" max="6142" width="10" style="33"/>
    <col min="6143" max="6143" width="2.7109375" style="33" customWidth="1"/>
    <col min="6144" max="6146" width="0" style="33" hidden="1" customWidth="1"/>
    <col min="6147" max="6147" width="16.140625" style="33" bestFit="1" customWidth="1"/>
    <col min="6148" max="6148" width="48" style="33" bestFit="1" customWidth="1"/>
    <col min="6149" max="6149" width="18" style="33" bestFit="1" customWidth="1"/>
    <col min="6150" max="6150" width="17.28515625" style="33" bestFit="1" customWidth="1"/>
    <col min="6151" max="6151" width="11.140625" style="33" bestFit="1" customWidth="1"/>
    <col min="6152" max="6152" width="12.28515625" style="33" bestFit="1" customWidth="1"/>
    <col min="6153" max="6153" width="7" style="33" customWidth="1"/>
    <col min="6154" max="6154" width="13.28515625" style="33" customWidth="1"/>
    <col min="6155" max="6155" width="18.7109375" style="33" customWidth="1"/>
    <col min="6156" max="6156" width="13.85546875" style="33" bestFit="1" customWidth="1"/>
    <col min="6157" max="6157" width="10" style="33"/>
    <col min="6158" max="6158" width="14.140625" style="33" bestFit="1" customWidth="1"/>
    <col min="6159" max="6398" width="10" style="33"/>
    <col min="6399" max="6399" width="2.7109375" style="33" customWidth="1"/>
    <col min="6400" max="6402" width="0" style="33" hidden="1" customWidth="1"/>
    <col min="6403" max="6403" width="16.140625" style="33" bestFit="1" customWidth="1"/>
    <col min="6404" max="6404" width="48" style="33" bestFit="1" customWidth="1"/>
    <col min="6405" max="6405" width="18" style="33" bestFit="1" customWidth="1"/>
    <col min="6406" max="6406" width="17.28515625" style="33" bestFit="1" customWidth="1"/>
    <col min="6407" max="6407" width="11.140625" style="33" bestFit="1" customWidth="1"/>
    <col min="6408" max="6408" width="12.28515625" style="33" bestFit="1" customWidth="1"/>
    <col min="6409" max="6409" width="7" style="33" customWidth="1"/>
    <col min="6410" max="6410" width="13.28515625" style="33" customWidth="1"/>
    <col min="6411" max="6411" width="18.7109375" style="33" customWidth="1"/>
    <col min="6412" max="6412" width="13.85546875" style="33" bestFit="1" customWidth="1"/>
    <col min="6413" max="6413" width="10" style="33"/>
    <col min="6414" max="6414" width="14.140625" style="33" bestFit="1" customWidth="1"/>
    <col min="6415" max="6654" width="10" style="33"/>
    <col min="6655" max="6655" width="2.7109375" style="33" customWidth="1"/>
    <col min="6656" max="6658" width="0" style="33" hidden="1" customWidth="1"/>
    <col min="6659" max="6659" width="16.140625" style="33" bestFit="1" customWidth="1"/>
    <col min="6660" max="6660" width="48" style="33" bestFit="1" customWidth="1"/>
    <col min="6661" max="6661" width="18" style="33" bestFit="1" customWidth="1"/>
    <col min="6662" max="6662" width="17.28515625" style="33" bestFit="1" customWidth="1"/>
    <col min="6663" max="6663" width="11.140625" style="33" bestFit="1" customWidth="1"/>
    <col min="6664" max="6664" width="12.28515625" style="33" bestFit="1" customWidth="1"/>
    <col min="6665" max="6665" width="7" style="33" customWidth="1"/>
    <col min="6666" max="6666" width="13.28515625" style="33" customWidth="1"/>
    <col min="6667" max="6667" width="18.7109375" style="33" customWidth="1"/>
    <col min="6668" max="6668" width="13.85546875" style="33" bestFit="1" customWidth="1"/>
    <col min="6669" max="6669" width="10" style="33"/>
    <col min="6670" max="6670" width="14.140625" style="33" bestFit="1" customWidth="1"/>
    <col min="6671" max="6910" width="10" style="33"/>
    <col min="6911" max="6911" width="2.7109375" style="33" customWidth="1"/>
    <col min="6912" max="6914" width="0" style="33" hidden="1" customWidth="1"/>
    <col min="6915" max="6915" width="16.140625" style="33" bestFit="1" customWidth="1"/>
    <col min="6916" max="6916" width="48" style="33" bestFit="1" customWidth="1"/>
    <col min="6917" max="6917" width="18" style="33" bestFit="1" customWidth="1"/>
    <col min="6918" max="6918" width="17.28515625" style="33" bestFit="1" customWidth="1"/>
    <col min="6919" max="6919" width="11.140625" style="33" bestFit="1" customWidth="1"/>
    <col min="6920" max="6920" width="12.28515625" style="33" bestFit="1" customWidth="1"/>
    <col min="6921" max="6921" width="7" style="33" customWidth="1"/>
    <col min="6922" max="6922" width="13.28515625" style="33" customWidth="1"/>
    <col min="6923" max="6923" width="18.7109375" style="33" customWidth="1"/>
    <col min="6924" max="6924" width="13.85546875" style="33" bestFit="1" customWidth="1"/>
    <col min="6925" max="6925" width="10" style="33"/>
    <col min="6926" max="6926" width="14.140625" style="33" bestFit="1" customWidth="1"/>
    <col min="6927" max="7166" width="10" style="33"/>
    <col min="7167" max="7167" width="2.7109375" style="33" customWidth="1"/>
    <col min="7168" max="7170" width="0" style="33" hidden="1" customWidth="1"/>
    <col min="7171" max="7171" width="16.140625" style="33" bestFit="1" customWidth="1"/>
    <col min="7172" max="7172" width="48" style="33" bestFit="1" customWidth="1"/>
    <col min="7173" max="7173" width="18" style="33" bestFit="1" customWidth="1"/>
    <col min="7174" max="7174" width="17.28515625" style="33" bestFit="1" customWidth="1"/>
    <col min="7175" max="7175" width="11.140625" style="33" bestFit="1" customWidth="1"/>
    <col min="7176" max="7176" width="12.28515625" style="33" bestFit="1" customWidth="1"/>
    <col min="7177" max="7177" width="7" style="33" customWidth="1"/>
    <col min="7178" max="7178" width="13.28515625" style="33" customWidth="1"/>
    <col min="7179" max="7179" width="18.7109375" style="33" customWidth="1"/>
    <col min="7180" max="7180" width="13.85546875" style="33" bestFit="1" customWidth="1"/>
    <col min="7181" max="7181" width="10" style="33"/>
    <col min="7182" max="7182" width="14.140625" style="33" bestFit="1" customWidth="1"/>
    <col min="7183" max="7422" width="10" style="33"/>
    <col min="7423" max="7423" width="2.7109375" style="33" customWidth="1"/>
    <col min="7424" max="7426" width="0" style="33" hidden="1" customWidth="1"/>
    <col min="7427" max="7427" width="16.140625" style="33" bestFit="1" customWidth="1"/>
    <col min="7428" max="7428" width="48" style="33" bestFit="1" customWidth="1"/>
    <col min="7429" max="7429" width="18" style="33" bestFit="1" customWidth="1"/>
    <col min="7430" max="7430" width="17.28515625" style="33" bestFit="1" customWidth="1"/>
    <col min="7431" max="7431" width="11.140625" style="33" bestFit="1" customWidth="1"/>
    <col min="7432" max="7432" width="12.28515625" style="33" bestFit="1" customWidth="1"/>
    <col min="7433" max="7433" width="7" style="33" customWidth="1"/>
    <col min="7434" max="7434" width="13.28515625" style="33" customWidth="1"/>
    <col min="7435" max="7435" width="18.7109375" style="33" customWidth="1"/>
    <col min="7436" max="7436" width="13.85546875" style="33" bestFit="1" customWidth="1"/>
    <col min="7437" max="7437" width="10" style="33"/>
    <col min="7438" max="7438" width="14.140625" style="33" bestFit="1" customWidth="1"/>
    <col min="7439" max="7678" width="10" style="33"/>
    <col min="7679" max="7679" width="2.7109375" style="33" customWidth="1"/>
    <col min="7680" max="7682" width="0" style="33" hidden="1" customWidth="1"/>
    <col min="7683" max="7683" width="16.140625" style="33" bestFit="1" customWidth="1"/>
    <col min="7684" max="7684" width="48" style="33" bestFit="1" customWidth="1"/>
    <col min="7685" max="7685" width="18" style="33" bestFit="1" customWidth="1"/>
    <col min="7686" max="7686" width="17.28515625" style="33" bestFit="1" customWidth="1"/>
    <col min="7687" max="7687" width="11.140625" style="33" bestFit="1" customWidth="1"/>
    <col min="7688" max="7688" width="12.28515625" style="33" bestFit="1" customWidth="1"/>
    <col min="7689" max="7689" width="7" style="33" customWidth="1"/>
    <col min="7690" max="7690" width="13.28515625" style="33" customWidth="1"/>
    <col min="7691" max="7691" width="18.7109375" style="33" customWidth="1"/>
    <col min="7692" max="7692" width="13.85546875" style="33" bestFit="1" customWidth="1"/>
    <col min="7693" max="7693" width="10" style="33"/>
    <col min="7694" max="7694" width="14.140625" style="33" bestFit="1" customWidth="1"/>
    <col min="7695" max="7934" width="10" style="33"/>
    <col min="7935" max="7935" width="2.7109375" style="33" customWidth="1"/>
    <col min="7936" max="7938" width="0" style="33" hidden="1" customWidth="1"/>
    <col min="7939" max="7939" width="16.140625" style="33" bestFit="1" customWidth="1"/>
    <col min="7940" max="7940" width="48" style="33" bestFit="1" customWidth="1"/>
    <col min="7941" max="7941" width="18" style="33" bestFit="1" customWidth="1"/>
    <col min="7942" max="7942" width="17.28515625" style="33" bestFit="1" customWidth="1"/>
    <col min="7943" max="7943" width="11.140625" style="33" bestFit="1" customWidth="1"/>
    <col min="7944" max="7944" width="12.28515625" style="33" bestFit="1" customWidth="1"/>
    <col min="7945" max="7945" width="7" style="33" customWidth="1"/>
    <col min="7946" max="7946" width="13.28515625" style="33" customWidth="1"/>
    <col min="7947" max="7947" width="18.7109375" style="33" customWidth="1"/>
    <col min="7948" max="7948" width="13.85546875" style="33" bestFit="1" customWidth="1"/>
    <col min="7949" max="7949" width="10" style="33"/>
    <col min="7950" max="7950" width="14.140625" style="33" bestFit="1" customWidth="1"/>
    <col min="7951" max="8190" width="10" style="33"/>
    <col min="8191" max="8191" width="2.7109375" style="33" customWidth="1"/>
    <col min="8192" max="8194" width="0" style="33" hidden="1" customWidth="1"/>
    <col min="8195" max="8195" width="16.140625" style="33" bestFit="1" customWidth="1"/>
    <col min="8196" max="8196" width="48" style="33" bestFit="1" customWidth="1"/>
    <col min="8197" max="8197" width="18" style="33" bestFit="1" customWidth="1"/>
    <col min="8198" max="8198" width="17.28515625" style="33" bestFit="1" customWidth="1"/>
    <col min="8199" max="8199" width="11.140625" style="33" bestFit="1" customWidth="1"/>
    <col min="8200" max="8200" width="12.28515625" style="33" bestFit="1" customWidth="1"/>
    <col min="8201" max="8201" width="7" style="33" customWidth="1"/>
    <col min="8202" max="8202" width="13.28515625" style="33" customWidth="1"/>
    <col min="8203" max="8203" width="18.7109375" style="33" customWidth="1"/>
    <col min="8204" max="8204" width="13.85546875" style="33" bestFit="1" customWidth="1"/>
    <col min="8205" max="8205" width="10" style="33"/>
    <col min="8206" max="8206" width="14.140625" style="33" bestFit="1" customWidth="1"/>
    <col min="8207" max="8446" width="10" style="33"/>
    <col min="8447" max="8447" width="2.7109375" style="33" customWidth="1"/>
    <col min="8448" max="8450" width="0" style="33" hidden="1" customWidth="1"/>
    <col min="8451" max="8451" width="16.140625" style="33" bestFit="1" customWidth="1"/>
    <col min="8452" max="8452" width="48" style="33" bestFit="1" customWidth="1"/>
    <col min="8453" max="8453" width="18" style="33" bestFit="1" customWidth="1"/>
    <col min="8454" max="8454" width="17.28515625" style="33" bestFit="1" customWidth="1"/>
    <col min="8455" max="8455" width="11.140625" style="33" bestFit="1" customWidth="1"/>
    <col min="8456" max="8456" width="12.28515625" style="33" bestFit="1" customWidth="1"/>
    <col min="8457" max="8457" width="7" style="33" customWidth="1"/>
    <col min="8458" max="8458" width="13.28515625" style="33" customWidth="1"/>
    <col min="8459" max="8459" width="18.7109375" style="33" customWidth="1"/>
    <col min="8460" max="8460" width="13.85546875" style="33" bestFit="1" customWidth="1"/>
    <col min="8461" max="8461" width="10" style="33"/>
    <col min="8462" max="8462" width="14.140625" style="33" bestFit="1" customWidth="1"/>
    <col min="8463" max="8702" width="10" style="33"/>
    <col min="8703" max="8703" width="2.7109375" style="33" customWidth="1"/>
    <col min="8704" max="8706" width="0" style="33" hidden="1" customWidth="1"/>
    <col min="8707" max="8707" width="16.140625" style="33" bestFit="1" customWidth="1"/>
    <col min="8708" max="8708" width="48" style="33" bestFit="1" customWidth="1"/>
    <col min="8709" max="8709" width="18" style="33" bestFit="1" customWidth="1"/>
    <col min="8710" max="8710" width="17.28515625" style="33" bestFit="1" customWidth="1"/>
    <col min="8711" max="8711" width="11.140625" style="33" bestFit="1" customWidth="1"/>
    <col min="8712" max="8712" width="12.28515625" style="33" bestFit="1" customWidth="1"/>
    <col min="8713" max="8713" width="7" style="33" customWidth="1"/>
    <col min="8714" max="8714" width="13.28515625" style="33" customWidth="1"/>
    <col min="8715" max="8715" width="18.7109375" style="33" customWidth="1"/>
    <col min="8716" max="8716" width="13.85546875" style="33" bestFit="1" customWidth="1"/>
    <col min="8717" max="8717" width="10" style="33"/>
    <col min="8718" max="8718" width="14.140625" style="33" bestFit="1" customWidth="1"/>
    <col min="8719" max="8958" width="10" style="33"/>
    <col min="8959" max="8959" width="2.7109375" style="33" customWidth="1"/>
    <col min="8960" max="8962" width="0" style="33" hidden="1" customWidth="1"/>
    <col min="8963" max="8963" width="16.140625" style="33" bestFit="1" customWidth="1"/>
    <col min="8964" max="8964" width="48" style="33" bestFit="1" customWidth="1"/>
    <col min="8965" max="8965" width="18" style="33" bestFit="1" customWidth="1"/>
    <col min="8966" max="8966" width="17.28515625" style="33" bestFit="1" customWidth="1"/>
    <col min="8967" max="8967" width="11.140625" style="33" bestFit="1" customWidth="1"/>
    <col min="8968" max="8968" width="12.28515625" style="33" bestFit="1" customWidth="1"/>
    <col min="8969" max="8969" width="7" style="33" customWidth="1"/>
    <col min="8970" max="8970" width="13.28515625" style="33" customWidth="1"/>
    <col min="8971" max="8971" width="18.7109375" style="33" customWidth="1"/>
    <col min="8972" max="8972" width="13.85546875" style="33" bestFit="1" customWidth="1"/>
    <col min="8973" max="8973" width="10" style="33"/>
    <col min="8974" max="8974" width="14.140625" style="33" bestFit="1" customWidth="1"/>
    <col min="8975" max="9214" width="10" style="33"/>
    <col min="9215" max="9215" width="2.7109375" style="33" customWidth="1"/>
    <col min="9216" max="9218" width="0" style="33" hidden="1" customWidth="1"/>
    <col min="9219" max="9219" width="16.140625" style="33" bestFit="1" customWidth="1"/>
    <col min="9220" max="9220" width="48" style="33" bestFit="1" customWidth="1"/>
    <col min="9221" max="9221" width="18" style="33" bestFit="1" customWidth="1"/>
    <col min="9222" max="9222" width="17.28515625" style="33" bestFit="1" customWidth="1"/>
    <col min="9223" max="9223" width="11.140625" style="33" bestFit="1" customWidth="1"/>
    <col min="9224" max="9224" width="12.28515625" style="33" bestFit="1" customWidth="1"/>
    <col min="9225" max="9225" width="7" style="33" customWidth="1"/>
    <col min="9226" max="9226" width="13.28515625" style="33" customWidth="1"/>
    <col min="9227" max="9227" width="18.7109375" style="33" customWidth="1"/>
    <col min="9228" max="9228" width="13.85546875" style="33" bestFit="1" customWidth="1"/>
    <col min="9229" max="9229" width="10" style="33"/>
    <col min="9230" max="9230" width="14.140625" style="33" bestFit="1" customWidth="1"/>
    <col min="9231" max="9470" width="10" style="33"/>
    <col min="9471" max="9471" width="2.7109375" style="33" customWidth="1"/>
    <col min="9472" max="9474" width="0" style="33" hidden="1" customWidth="1"/>
    <col min="9475" max="9475" width="16.140625" style="33" bestFit="1" customWidth="1"/>
    <col min="9476" max="9476" width="48" style="33" bestFit="1" customWidth="1"/>
    <col min="9477" max="9477" width="18" style="33" bestFit="1" customWidth="1"/>
    <col min="9478" max="9478" width="17.28515625" style="33" bestFit="1" customWidth="1"/>
    <col min="9479" max="9479" width="11.140625" style="33" bestFit="1" customWidth="1"/>
    <col min="9480" max="9480" width="12.28515625" style="33" bestFit="1" customWidth="1"/>
    <col min="9481" max="9481" width="7" style="33" customWidth="1"/>
    <col min="9482" max="9482" width="13.28515625" style="33" customWidth="1"/>
    <col min="9483" max="9483" width="18.7109375" style="33" customWidth="1"/>
    <col min="9484" max="9484" width="13.85546875" style="33" bestFit="1" customWidth="1"/>
    <col min="9485" max="9485" width="10" style="33"/>
    <col min="9486" max="9486" width="14.140625" style="33" bestFit="1" customWidth="1"/>
    <col min="9487" max="9726" width="10" style="33"/>
    <col min="9727" max="9727" width="2.7109375" style="33" customWidth="1"/>
    <col min="9728" max="9730" width="0" style="33" hidden="1" customWidth="1"/>
    <col min="9731" max="9731" width="16.140625" style="33" bestFit="1" customWidth="1"/>
    <col min="9732" max="9732" width="48" style="33" bestFit="1" customWidth="1"/>
    <col min="9733" max="9733" width="18" style="33" bestFit="1" customWidth="1"/>
    <col min="9734" max="9734" width="17.28515625" style="33" bestFit="1" customWidth="1"/>
    <col min="9735" max="9735" width="11.140625" style="33" bestFit="1" customWidth="1"/>
    <col min="9736" max="9736" width="12.28515625" style="33" bestFit="1" customWidth="1"/>
    <col min="9737" max="9737" width="7" style="33" customWidth="1"/>
    <col min="9738" max="9738" width="13.28515625" style="33" customWidth="1"/>
    <col min="9739" max="9739" width="18.7109375" style="33" customWidth="1"/>
    <col min="9740" max="9740" width="13.85546875" style="33" bestFit="1" customWidth="1"/>
    <col min="9741" max="9741" width="10" style="33"/>
    <col min="9742" max="9742" width="14.140625" style="33" bestFit="1" customWidth="1"/>
    <col min="9743" max="9982" width="10" style="33"/>
    <col min="9983" max="9983" width="2.7109375" style="33" customWidth="1"/>
    <col min="9984" max="9986" width="0" style="33" hidden="1" customWidth="1"/>
    <col min="9987" max="9987" width="16.140625" style="33" bestFit="1" customWidth="1"/>
    <col min="9988" max="9988" width="48" style="33" bestFit="1" customWidth="1"/>
    <col min="9989" max="9989" width="18" style="33" bestFit="1" customWidth="1"/>
    <col min="9990" max="9990" width="17.28515625" style="33" bestFit="1" customWidth="1"/>
    <col min="9991" max="9991" width="11.140625" style="33" bestFit="1" customWidth="1"/>
    <col min="9992" max="9992" width="12.28515625" style="33" bestFit="1" customWidth="1"/>
    <col min="9993" max="9993" width="7" style="33" customWidth="1"/>
    <col min="9994" max="9994" width="13.28515625" style="33" customWidth="1"/>
    <col min="9995" max="9995" width="18.7109375" style="33" customWidth="1"/>
    <col min="9996" max="9996" width="13.85546875" style="33" bestFit="1" customWidth="1"/>
    <col min="9997" max="9997" width="10" style="33"/>
    <col min="9998" max="9998" width="14.140625" style="33" bestFit="1" customWidth="1"/>
    <col min="9999" max="10238" width="10" style="33"/>
    <col min="10239" max="10239" width="2.7109375" style="33" customWidth="1"/>
    <col min="10240" max="10242" width="0" style="33" hidden="1" customWidth="1"/>
    <col min="10243" max="10243" width="16.140625" style="33" bestFit="1" customWidth="1"/>
    <col min="10244" max="10244" width="48" style="33" bestFit="1" customWidth="1"/>
    <col min="10245" max="10245" width="18" style="33" bestFit="1" customWidth="1"/>
    <col min="10246" max="10246" width="17.28515625" style="33" bestFit="1" customWidth="1"/>
    <col min="10247" max="10247" width="11.140625" style="33" bestFit="1" customWidth="1"/>
    <col min="10248" max="10248" width="12.28515625" style="33" bestFit="1" customWidth="1"/>
    <col min="10249" max="10249" width="7" style="33" customWidth="1"/>
    <col min="10250" max="10250" width="13.28515625" style="33" customWidth="1"/>
    <col min="10251" max="10251" width="18.7109375" style="33" customWidth="1"/>
    <col min="10252" max="10252" width="13.85546875" style="33" bestFit="1" customWidth="1"/>
    <col min="10253" max="10253" width="10" style="33"/>
    <col min="10254" max="10254" width="14.140625" style="33" bestFit="1" customWidth="1"/>
    <col min="10255" max="10494" width="10" style="33"/>
    <col min="10495" max="10495" width="2.7109375" style="33" customWidth="1"/>
    <col min="10496" max="10498" width="0" style="33" hidden="1" customWidth="1"/>
    <col min="10499" max="10499" width="16.140625" style="33" bestFit="1" customWidth="1"/>
    <col min="10500" max="10500" width="48" style="33" bestFit="1" customWidth="1"/>
    <col min="10501" max="10501" width="18" style="33" bestFit="1" customWidth="1"/>
    <col min="10502" max="10502" width="17.28515625" style="33" bestFit="1" customWidth="1"/>
    <col min="10503" max="10503" width="11.140625" style="33" bestFit="1" customWidth="1"/>
    <col min="10504" max="10504" width="12.28515625" style="33" bestFit="1" customWidth="1"/>
    <col min="10505" max="10505" width="7" style="33" customWidth="1"/>
    <col min="10506" max="10506" width="13.28515625" style="33" customWidth="1"/>
    <col min="10507" max="10507" width="18.7109375" style="33" customWidth="1"/>
    <col min="10508" max="10508" width="13.85546875" style="33" bestFit="1" customWidth="1"/>
    <col min="10509" max="10509" width="10" style="33"/>
    <col min="10510" max="10510" width="14.140625" style="33" bestFit="1" customWidth="1"/>
    <col min="10511" max="10750" width="10" style="33"/>
    <col min="10751" max="10751" width="2.7109375" style="33" customWidth="1"/>
    <col min="10752" max="10754" width="0" style="33" hidden="1" customWidth="1"/>
    <col min="10755" max="10755" width="16.140625" style="33" bestFit="1" customWidth="1"/>
    <col min="10756" max="10756" width="48" style="33" bestFit="1" customWidth="1"/>
    <col min="10757" max="10757" width="18" style="33" bestFit="1" customWidth="1"/>
    <col min="10758" max="10758" width="17.28515625" style="33" bestFit="1" customWidth="1"/>
    <col min="10759" max="10759" width="11.140625" style="33" bestFit="1" customWidth="1"/>
    <col min="10760" max="10760" width="12.28515625" style="33" bestFit="1" customWidth="1"/>
    <col min="10761" max="10761" width="7" style="33" customWidth="1"/>
    <col min="10762" max="10762" width="13.28515625" style="33" customWidth="1"/>
    <col min="10763" max="10763" width="18.7109375" style="33" customWidth="1"/>
    <col min="10764" max="10764" width="13.85546875" style="33" bestFit="1" customWidth="1"/>
    <col min="10765" max="10765" width="10" style="33"/>
    <col min="10766" max="10766" width="14.140625" style="33" bestFit="1" customWidth="1"/>
    <col min="10767" max="11006" width="10" style="33"/>
    <col min="11007" max="11007" width="2.7109375" style="33" customWidth="1"/>
    <col min="11008" max="11010" width="0" style="33" hidden="1" customWidth="1"/>
    <col min="11011" max="11011" width="16.140625" style="33" bestFit="1" customWidth="1"/>
    <col min="11012" max="11012" width="48" style="33" bestFit="1" customWidth="1"/>
    <col min="11013" max="11013" width="18" style="33" bestFit="1" customWidth="1"/>
    <col min="11014" max="11014" width="17.28515625" style="33" bestFit="1" customWidth="1"/>
    <col min="11015" max="11015" width="11.140625" style="33" bestFit="1" customWidth="1"/>
    <col min="11016" max="11016" width="12.28515625" style="33" bestFit="1" customWidth="1"/>
    <col min="11017" max="11017" width="7" style="33" customWidth="1"/>
    <col min="11018" max="11018" width="13.28515625" style="33" customWidth="1"/>
    <col min="11019" max="11019" width="18.7109375" style="33" customWidth="1"/>
    <col min="11020" max="11020" width="13.85546875" style="33" bestFit="1" customWidth="1"/>
    <col min="11021" max="11021" width="10" style="33"/>
    <col min="11022" max="11022" width="14.140625" style="33" bestFit="1" customWidth="1"/>
    <col min="11023" max="11262" width="10" style="33"/>
    <col min="11263" max="11263" width="2.7109375" style="33" customWidth="1"/>
    <col min="11264" max="11266" width="0" style="33" hidden="1" customWidth="1"/>
    <col min="11267" max="11267" width="16.140625" style="33" bestFit="1" customWidth="1"/>
    <col min="11268" max="11268" width="48" style="33" bestFit="1" customWidth="1"/>
    <col min="11269" max="11269" width="18" style="33" bestFit="1" customWidth="1"/>
    <col min="11270" max="11270" width="17.28515625" style="33" bestFit="1" customWidth="1"/>
    <col min="11271" max="11271" width="11.140625" style="33" bestFit="1" customWidth="1"/>
    <col min="11272" max="11272" width="12.28515625" style="33" bestFit="1" customWidth="1"/>
    <col min="11273" max="11273" width="7" style="33" customWidth="1"/>
    <col min="11274" max="11274" width="13.28515625" style="33" customWidth="1"/>
    <col min="11275" max="11275" width="18.7109375" style="33" customWidth="1"/>
    <col min="11276" max="11276" width="13.85546875" style="33" bestFit="1" customWidth="1"/>
    <col min="11277" max="11277" width="10" style="33"/>
    <col min="11278" max="11278" width="14.140625" style="33" bestFit="1" customWidth="1"/>
    <col min="11279" max="11518" width="10" style="33"/>
    <col min="11519" max="11519" width="2.7109375" style="33" customWidth="1"/>
    <col min="11520" max="11522" width="0" style="33" hidden="1" customWidth="1"/>
    <col min="11523" max="11523" width="16.140625" style="33" bestFit="1" customWidth="1"/>
    <col min="11524" max="11524" width="48" style="33" bestFit="1" customWidth="1"/>
    <col min="11525" max="11525" width="18" style="33" bestFit="1" customWidth="1"/>
    <col min="11526" max="11526" width="17.28515625" style="33" bestFit="1" customWidth="1"/>
    <col min="11527" max="11527" width="11.140625" style="33" bestFit="1" customWidth="1"/>
    <col min="11528" max="11528" width="12.28515625" style="33" bestFit="1" customWidth="1"/>
    <col min="11529" max="11529" width="7" style="33" customWidth="1"/>
    <col min="11530" max="11530" width="13.28515625" style="33" customWidth="1"/>
    <col min="11531" max="11531" width="18.7109375" style="33" customWidth="1"/>
    <col min="11532" max="11532" width="13.85546875" style="33" bestFit="1" customWidth="1"/>
    <col min="11533" max="11533" width="10" style="33"/>
    <col min="11534" max="11534" width="14.140625" style="33" bestFit="1" customWidth="1"/>
    <col min="11535" max="11774" width="10" style="33"/>
    <col min="11775" max="11775" width="2.7109375" style="33" customWidth="1"/>
    <col min="11776" max="11778" width="0" style="33" hidden="1" customWidth="1"/>
    <col min="11779" max="11779" width="16.140625" style="33" bestFit="1" customWidth="1"/>
    <col min="11780" max="11780" width="48" style="33" bestFit="1" customWidth="1"/>
    <col min="11781" max="11781" width="18" style="33" bestFit="1" customWidth="1"/>
    <col min="11782" max="11782" width="17.28515625" style="33" bestFit="1" customWidth="1"/>
    <col min="11783" max="11783" width="11.140625" style="33" bestFit="1" customWidth="1"/>
    <col min="11784" max="11784" width="12.28515625" style="33" bestFit="1" customWidth="1"/>
    <col min="11785" max="11785" width="7" style="33" customWidth="1"/>
    <col min="11786" max="11786" width="13.28515625" style="33" customWidth="1"/>
    <col min="11787" max="11787" width="18.7109375" style="33" customWidth="1"/>
    <col min="11788" max="11788" width="13.85546875" style="33" bestFit="1" customWidth="1"/>
    <col min="11789" max="11789" width="10" style="33"/>
    <col min="11790" max="11790" width="14.140625" style="33" bestFit="1" customWidth="1"/>
    <col min="11791" max="12030" width="10" style="33"/>
    <col min="12031" max="12031" width="2.7109375" style="33" customWidth="1"/>
    <col min="12032" max="12034" width="0" style="33" hidden="1" customWidth="1"/>
    <col min="12035" max="12035" width="16.140625" style="33" bestFit="1" customWidth="1"/>
    <col min="12036" max="12036" width="48" style="33" bestFit="1" customWidth="1"/>
    <col min="12037" max="12037" width="18" style="33" bestFit="1" customWidth="1"/>
    <col min="12038" max="12038" width="17.28515625" style="33" bestFit="1" customWidth="1"/>
    <col min="12039" max="12039" width="11.140625" style="33" bestFit="1" customWidth="1"/>
    <col min="12040" max="12040" width="12.28515625" style="33" bestFit="1" customWidth="1"/>
    <col min="12041" max="12041" width="7" style="33" customWidth="1"/>
    <col min="12042" max="12042" width="13.28515625" style="33" customWidth="1"/>
    <col min="12043" max="12043" width="18.7109375" style="33" customWidth="1"/>
    <col min="12044" max="12044" width="13.85546875" style="33" bestFit="1" customWidth="1"/>
    <col min="12045" max="12045" width="10" style="33"/>
    <col min="12046" max="12046" width="14.140625" style="33" bestFit="1" customWidth="1"/>
    <col min="12047" max="12286" width="10" style="33"/>
    <col min="12287" max="12287" width="2.7109375" style="33" customWidth="1"/>
    <col min="12288" max="12290" width="0" style="33" hidden="1" customWidth="1"/>
    <col min="12291" max="12291" width="16.140625" style="33" bestFit="1" customWidth="1"/>
    <col min="12292" max="12292" width="48" style="33" bestFit="1" customWidth="1"/>
    <col min="12293" max="12293" width="18" style="33" bestFit="1" customWidth="1"/>
    <col min="12294" max="12294" width="17.28515625" style="33" bestFit="1" customWidth="1"/>
    <col min="12295" max="12295" width="11.140625" style="33" bestFit="1" customWidth="1"/>
    <col min="12296" max="12296" width="12.28515625" style="33" bestFit="1" customWidth="1"/>
    <col min="12297" max="12297" width="7" style="33" customWidth="1"/>
    <col min="12298" max="12298" width="13.28515625" style="33" customWidth="1"/>
    <col min="12299" max="12299" width="18.7109375" style="33" customWidth="1"/>
    <col min="12300" max="12300" width="13.85546875" style="33" bestFit="1" customWidth="1"/>
    <col min="12301" max="12301" width="10" style="33"/>
    <col min="12302" max="12302" width="14.140625" style="33" bestFit="1" customWidth="1"/>
    <col min="12303" max="12542" width="10" style="33"/>
    <col min="12543" max="12543" width="2.7109375" style="33" customWidth="1"/>
    <col min="12544" max="12546" width="0" style="33" hidden="1" customWidth="1"/>
    <col min="12547" max="12547" width="16.140625" style="33" bestFit="1" customWidth="1"/>
    <col min="12548" max="12548" width="48" style="33" bestFit="1" customWidth="1"/>
    <col min="12549" max="12549" width="18" style="33" bestFit="1" customWidth="1"/>
    <col min="12550" max="12550" width="17.28515625" style="33" bestFit="1" customWidth="1"/>
    <col min="12551" max="12551" width="11.140625" style="33" bestFit="1" customWidth="1"/>
    <col min="12552" max="12552" width="12.28515625" style="33" bestFit="1" customWidth="1"/>
    <col min="12553" max="12553" width="7" style="33" customWidth="1"/>
    <col min="12554" max="12554" width="13.28515625" style="33" customWidth="1"/>
    <col min="12555" max="12555" width="18.7109375" style="33" customWidth="1"/>
    <col min="12556" max="12556" width="13.85546875" style="33" bestFit="1" customWidth="1"/>
    <col min="12557" max="12557" width="10" style="33"/>
    <col min="12558" max="12558" width="14.140625" style="33" bestFit="1" customWidth="1"/>
    <col min="12559" max="12798" width="10" style="33"/>
    <col min="12799" max="12799" width="2.7109375" style="33" customWidth="1"/>
    <col min="12800" max="12802" width="0" style="33" hidden="1" customWidth="1"/>
    <col min="12803" max="12803" width="16.140625" style="33" bestFit="1" customWidth="1"/>
    <col min="12804" max="12804" width="48" style="33" bestFit="1" customWidth="1"/>
    <col min="12805" max="12805" width="18" style="33" bestFit="1" customWidth="1"/>
    <col min="12806" max="12806" width="17.28515625" style="33" bestFit="1" customWidth="1"/>
    <col min="12807" max="12807" width="11.140625" style="33" bestFit="1" customWidth="1"/>
    <col min="12808" max="12808" width="12.28515625" style="33" bestFit="1" customWidth="1"/>
    <col min="12809" max="12809" width="7" style="33" customWidth="1"/>
    <col min="12810" max="12810" width="13.28515625" style="33" customWidth="1"/>
    <col min="12811" max="12811" width="18.7109375" style="33" customWidth="1"/>
    <col min="12812" max="12812" width="13.85546875" style="33" bestFit="1" customWidth="1"/>
    <col min="12813" max="12813" width="10" style="33"/>
    <col min="12814" max="12814" width="14.140625" style="33" bestFit="1" customWidth="1"/>
    <col min="12815" max="13054" width="10" style="33"/>
    <col min="13055" max="13055" width="2.7109375" style="33" customWidth="1"/>
    <col min="13056" max="13058" width="0" style="33" hidden="1" customWidth="1"/>
    <col min="13059" max="13059" width="16.140625" style="33" bestFit="1" customWidth="1"/>
    <col min="13060" max="13060" width="48" style="33" bestFit="1" customWidth="1"/>
    <col min="13061" max="13061" width="18" style="33" bestFit="1" customWidth="1"/>
    <col min="13062" max="13062" width="17.28515625" style="33" bestFit="1" customWidth="1"/>
    <col min="13063" max="13063" width="11.140625" style="33" bestFit="1" customWidth="1"/>
    <col min="13064" max="13064" width="12.28515625" style="33" bestFit="1" customWidth="1"/>
    <col min="13065" max="13065" width="7" style="33" customWidth="1"/>
    <col min="13066" max="13066" width="13.28515625" style="33" customWidth="1"/>
    <col min="13067" max="13067" width="18.7109375" style="33" customWidth="1"/>
    <col min="13068" max="13068" width="13.85546875" style="33" bestFit="1" customWidth="1"/>
    <col min="13069" max="13069" width="10" style="33"/>
    <col min="13070" max="13070" width="14.140625" style="33" bestFit="1" customWidth="1"/>
    <col min="13071" max="13310" width="10" style="33"/>
    <col min="13311" max="13311" width="2.7109375" style="33" customWidth="1"/>
    <col min="13312" max="13314" width="0" style="33" hidden="1" customWidth="1"/>
    <col min="13315" max="13315" width="16.140625" style="33" bestFit="1" customWidth="1"/>
    <col min="13316" max="13316" width="48" style="33" bestFit="1" customWidth="1"/>
    <col min="13317" max="13317" width="18" style="33" bestFit="1" customWidth="1"/>
    <col min="13318" max="13318" width="17.28515625" style="33" bestFit="1" customWidth="1"/>
    <col min="13319" max="13319" width="11.140625" style="33" bestFit="1" customWidth="1"/>
    <col min="13320" max="13320" width="12.28515625" style="33" bestFit="1" customWidth="1"/>
    <col min="13321" max="13321" width="7" style="33" customWidth="1"/>
    <col min="13322" max="13322" width="13.28515625" style="33" customWidth="1"/>
    <col min="13323" max="13323" width="18.7109375" style="33" customWidth="1"/>
    <col min="13324" max="13324" width="13.85546875" style="33" bestFit="1" customWidth="1"/>
    <col min="13325" max="13325" width="10" style="33"/>
    <col min="13326" max="13326" width="14.140625" style="33" bestFit="1" customWidth="1"/>
    <col min="13327" max="13566" width="10" style="33"/>
    <col min="13567" max="13567" width="2.7109375" style="33" customWidth="1"/>
    <col min="13568" max="13570" width="0" style="33" hidden="1" customWidth="1"/>
    <col min="13571" max="13571" width="16.140625" style="33" bestFit="1" customWidth="1"/>
    <col min="13572" max="13572" width="48" style="33" bestFit="1" customWidth="1"/>
    <col min="13573" max="13573" width="18" style="33" bestFit="1" customWidth="1"/>
    <col min="13574" max="13574" width="17.28515625" style="33" bestFit="1" customWidth="1"/>
    <col min="13575" max="13575" width="11.140625" style="33" bestFit="1" customWidth="1"/>
    <col min="13576" max="13576" width="12.28515625" style="33" bestFit="1" customWidth="1"/>
    <col min="13577" max="13577" width="7" style="33" customWidth="1"/>
    <col min="13578" max="13578" width="13.28515625" style="33" customWidth="1"/>
    <col min="13579" max="13579" width="18.7109375" style="33" customWidth="1"/>
    <col min="13580" max="13580" width="13.85546875" style="33" bestFit="1" customWidth="1"/>
    <col min="13581" max="13581" width="10" style="33"/>
    <col min="13582" max="13582" width="14.140625" style="33" bestFit="1" customWidth="1"/>
    <col min="13583" max="13822" width="10" style="33"/>
    <col min="13823" max="13823" width="2.7109375" style="33" customWidth="1"/>
    <col min="13824" max="13826" width="0" style="33" hidden="1" customWidth="1"/>
    <col min="13827" max="13827" width="16.140625" style="33" bestFit="1" customWidth="1"/>
    <col min="13828" max="13828" width="48" style="33" bestFit="1" customWidth="1"/>
    <col min="13829" max="13829" width="18" style="33" bestFit="1" customWidth="1"/>
    <col min="13830" max="13830" width="17.28515625" style="33" bestFit="1" customWidth="1"/>
    <col min="13831" max="13831" width="11.140625" style="33" bestFit="1" customWidth="1"/>
    <col min="13832" max="13832" width="12.28515625" style="33" bestFit="1" customWidth="1"/>
    <col min="13833" max="13833" width="7" style="33" customWidth="1"/>
    <col min="13834" max="13834" width="13.28515625" style="33" customWidth="1"/>
    <col min="13835" max="13835" width="18.7109375" style="33" customWidth="1"/>
    <col min="13836" max="13836" width="13.85546875" style="33" bestFit="1" customWidth="1"/>
    <col min="13837" max="13837" width="10" style="33"/>
    <col min="13838" max="13838" width="14.140625" style="33" bestFit="1" customWidth="1"/>
    <col min="13839" max="14078" width="10" style="33"/>
    <col min="14079" max="14079" width="2.7109375" style="33" customWidth="1"/>
    <col min="14080" max="14082" width="0" style="33" hidden="1" customWidth="1"/>
    <col min="14083" max="14083" width="16.140625" style="33" bestFit="1" customWidth="1"/>
    <col min="14084" max="14084" width="48" style="33" bestFit="1" customWidth="1"/>
    <col min="14085" max="14085" width="18" style="33" bestFit="1" customWidth="1"/>
    <col min="14086" max="14086" width="17.28515625" style="33" bestFit="1" customWidth="1"/>
    <col min="14087" max="14087" width="11.140625" style="33" bestFit="1" customWidth="1"/>
    <col min="14088" max="14088" width="12.28515625" style="33" bestFit="1" customWidth="1"/>
    <col min="14089" max="14089" width="7" style="33" customWidth="1"/>
    <col min="14090" max="14090" width="13.28515625" style="33" customWidth="1"/>
    <col min="14091" max="14091" width="18.7109375" style="33" customWidth="1"/>
    <col min="14092" max="14092" width="13.85546875" style="33" bestFit="1" customWidth="1"/>
    <col min="14093" max="14093" width="10" style="33"/>
    <col min="14094" max="14094" width="14.140625" style="33" bestFit="1" customWidth="1"/>
    <col min="14095" max="14334" width="10" style="33"/>
    <col min="14335" max="14335" width="2.7109375" style="33" customWidth="1"/>
    <col min="14336" max="14338" width="0" style="33" hidden="1" customWidth="1"/>
    <col min="14339" max="14339" width="16.140625" style="33" bestFit="1" customWidth="1"/>
    <col min="14340" max="14340" width="48" style="33" bestFit="1" customWidth="1"/>
    <col min="14341" max="14341" width="18" style="33" bestFit="1" customWidth="1"/>
    <col min="14342" max="14342" width="17.28515625" style="33" bestFit="1" customWidth="1"/>
    <col min="14343" max="14343" width="11.140625" style="33" bestFit="1" customWidth="1"/>
    <col min="14344" max="14344" width="12.28515625" style="33" bestFit="1" customWidth="1"/>
    <col min="14345" max="14345" width="7" style="33" customWidth="1"/>
    <col min="14346" max="14346" width="13.28515625" style="33" customWidth="1"/>
    <col min="14347" max="14347" width="18.7109375" style="33" customWidth="1"/>
    <col min="14348" max="14348" width="13.85546875" style="33" bestFit="1" customWidth="1"/>
    <col min="14349" max="14349" width="10" style="33"/>
    <col min="14350" max="14350" width="14.140625" style="33" bestFit="1" customWidth="1"/>
    <col min="14351" max="14590" width="10" style="33"/>
    <col min="14591" max="14591" width="2.7109375" style="33" customWidth="1"/>
    <col min="14592" max="14594" width="0" style="33" hidden="1" customWidth="1"/>
    <col min="14595" max="14595" width="16.140625" style="33" bestFit="1" customWidth="1"/>
    <col min="14596" max="14596" width="48" style="33" bestFit="1" customWidth="1"/>
    <col min="14597" max="14597" width="18" style="33" bestFit="1" customWidth="1"/>
    <col min="14598" max="14598" width="17.28515625" style="33" bestFit="1" customWidth="1"/>
    <col min="14599" max="14599" width="11.140625" style="33" bestFit="1" customWidth="1"/>
    <col min="14600" max="14600" width="12.28515625" style="33" bestFit="1" customWidth="1"/>
    <col min="14601" max="14601" width="7" style="33" customWidth="1"/>
    <col min="14602" max="14602" width="13.28515625" style="33" customWidth="1"/>
    <col min="14603" max="14603" width="18.7109375" style="33" customWidth="1"/>
    <col min="14604" max="14604" width="13.85546875" style="33" bestFit="1" customWidth="1"/>
    <col min="14605" max="14605" width="10" style="33"/>
    <col min="14606" max="14606" width="14.140625" style="33" bestFit="1" customWidth="1"/>
    <col min="14607" max="14846" width="10" style="33"/>
    <col min="14847" max="14847" width="2.7109375" style="33" customWidth="1"/>
    <col min="14848" max="14850" width="0" style="33" hidden="1" customWidth="1"/>
    <col min="14851" max="14851" width="16.140625" style="33" bestFit="1" customWidth="1"/>
    <col min="14852" max="14852" width="48" style="33" bestFit="1" customWidth="1"/>
    <col min="14853" max="14853" width="18" style="33" bestFit="1" customWidth="1"/>
    <col min="14854" max="14854" width="17.28515625" style="33" bestFit="1" customWidth="1"/>
    <col min="14855" max="14855" width="11.140625" style="33" bestFit="1" customWidth="1"/>
    <col min="14856" max="14856" width="12.28515625" style="33" bestFit="1" customWidth="1"/>
    <col min="14857" max="14857" width="7" style="33" customWidth="1"/>
    <col min="14858" max="14858" width="13.28515625" style="33" customWidth="1"/>
    <col min="14859" max="14859" width="18.7109375" style="33" customWidth="1"/>
    <col min="14860" max="14860" width="13.85546875" style="33" bestFit="1" customWidth="1"/>
    <col min="14861" max="14861" width="10" style="33"/>
    <col min="14862" max="14862" width="14.140625" style="33" bestFit="1" customWidth="1"/>
    <col min="14863" max="15102" width="10" style="33"/>
    <col min="15103" max="15103" width="2.7109375" style="33" customWidth="1"/>
    <col min="15104" max="15106" width="0" style="33" hidden="1" customWidth="1"/>
    <col min="15107" max="15107" width="16.140625" style="33" bestFit="1" customWidth="1"/>
    <col min="15108" max="15108" width="48" style="33" bestFit="1" customWidth="1"/>
    <col min="15109" max="15109" width="18" style="33" bestFit="1" customWidth="1"/>
    <col min="15110" max="15110" width="17.28515625" style="33" bestFit="1" customWidth="1"/>
    <col min="15111" max="15111" width="11.140625" style="33" bestFit="1" customWidth="1"/>
    <col min="15112" max="15112" width="12.28515625" style="33" bestFit="1" customWidth="1"/>
    <col min="15113" max="15113" width="7" style="33" customWidth="1"/>
    <col min="15114" max="15114" width="13.28515625" style="33" customWidth="1"/>
    <col min="15115" max="15115" width="18.7109375" style="33" customWidth="1"/>
    <col min="15116" max="15116" width="13.85546875" style="33" bestFit="1" customWidth="1"/>
    <col min="15117" max="15117" width="10" style="33"/>
    <col min="15118" max="15118" width="14.140625" style="33" bestFit="1" customWidth="1"/>
    <col min="15119" max="15358" width="10" style="33"/>
    <col min="15359" max="15359" width="2.7109375" style="33" customWidth="1"/>
    <col min="15360" max="15362" width="0" style="33" hidden="1" customWidth="1"/>
    <col min="15363" max="15363" width="16.140625" style="33" bestFit="1" customWidth="1"/>
    <col min="15364" max="15364" width="48" style="33" bestFit="1" customWidth="1"/>
    <col min="15365" max="15365" width="18" style="33" bestFit="1" customWidth="1"/>
    <col min="15366" max="15366" width="17.28515625" style="33" bestFit="1" customWidth="1"/>
    <col min="15367" max="15367" width="11.140625" style="33" bestFit="1" customWidth="1"/>
    <col min="15368" max="15368" width="12.28515625" style="33" bestFit="1" customWidth="1"/>
    <col min="15369" max="15369" width="7" style="33" customWidth="1"/>
    <col min="15370" max="15370" width="13.28515625" style="33" customWidth="1"/>
    <col min="15371" max="15371" width="18.7109375" style="33" customWidth="1"/>
    <col min="15372" max="15372" width="13.85546875" style="33" bestFit="1" customWidth="1"/>
    <col min="15373" max="15373" width="10" style="33"/>
    <col min="15374" max="15374" width="14.140625" style="33" bestFit="1" customWidth="1"/>
    <col min="15375" max="15614" width="10" style="33"/>
    <col min="15615" max="15615" width="2.7109375" style="33" customWidth="1"/>
    <col min="15616" max="15618" width="0" style="33" hidden="1" customWidth="1"/>
    <col min="15619" max="15619" width="16.140625" style="33" bestFit="1" customWidth="1"/>
    <col min="15620" max="15620" width="48" style="33" bestFit="1" customWidth="1"/>
    <col min="15621" max="15621" width="18" style="33" bestFit="1" customWidth="1"/>
    <col min="15622" max="15622" width="17.28515625" style="33" bestFit="1" customWidth="1"/>
    <col min="15623" max="15623" width="11.140625" style="33" bestFit="1" customWidth="1"/>
    <col min="15624" max="15624" width="12.28515625" style="33" bestFit="1" customWidth="1"/>
    <col min="15625" max="15625" width="7" style="33" customWidth="1"/>
    <col min="15626" max="15626" width="13.28515625" style="33" customWidth="1"/>
    <col min="15627" max="15627" width="18.7109375" style="33" customWidth="1"/>
    <col min="15628" max="15628" width="13.85546875" style="33" bestFit="1" customWidth="1"/>
    <col min="15629" max="15629" width="10" style="33"/>
    <col min="15630" max="15630" width="14.140625" style="33" bestFit="1" customWidth="1"/>
    <col min="15631" max="15870" width="10" style="33"/>
    <col min="15871" max="15871" width="2.7109375" style="33" customWidth="1"/>
    <col min="15872" max="15874" width="0" style="33" hidden="1" customWidth="1"/>
    <col min="15875" max="15875" width="16.140625" style="33" bestFit="1" customWidth="1"/>
    <col min="15876" max="15876" width="48" style="33" bestFit="1" customWidth="1"/>
    <col min="15877" max="15877" width="18" style="33" bestFit="1" customWidth="1"/>
    <col min="15878" max="15878" width="17.28515625" style="33" bestFit="1" customWidth="1"/>
    <col min="15879" max="15879" width="11.140625" style="33" bestFit="1" customWidth="1"/>
    <col min="15880" max="15880" width="12.28515625" style="33" bestFit="1" customWidth="1"/>
    <col min="15881" max="15881" width="7" style="33" customWidth="1"/>
    <col min="15882" max="15882" width="13.28515625" style="33" customWidth="1"/>
    <col min="15883" max="15883" width="18.7109375" style="33" customWidth="1"/>
    <col min="15884" max="15884" width="13.85546875" style="33" bestFit="1" customWidth="1"/>
    <col min="15885" max="15885" width="10" style="33"/>
    <col min="15886" max="15886" width="14.140625" style="33" bestFit="1" customWidth="1"/>
    <col min="15887" max="16126" width="10" style="33"/>
    <col min="16127" max="16127" width="2.7109375" style="33" customWidth="1"/>
    <col min="16128" max="16130" width="0" style="33" hidden="1" customWidth="1"/>
    <col min="16131" max="16131" width="16.140625" style="33" bestFit="1" customWidth="1"/>
    <col min="16132" max="16132" width="48" style="33" bestFit="1" customWidth="1"/>
    <col min="16133" max="16133" width="18" style="33" bestFit="1" customWidth="1"/>
    <col min="16134" max="16134" width="17.28515625" style="33" bestFit="1" customWidth="1"/>
    <col min="16135" max="16135" width="11.140625" style="33" bestFit="1" customWidth="1"/>
    <col min="16136" max="16136" width="12.28515625" style="33" bestFit="1" customWidth="1"/>
    <col min="16137" max="16137" width="7" style="33" customWidth="1"/>
    <col min="16138" max="16138" width="13.28515625" style="33" customWidth="1"/>
    <col min="16139" max="16139" width="18.7109375" style="33" customWidth="1"/>
    <col min="16140" max="16140" width="13.85546875" style="33" bestFit="1" customWidth="1"/>
    <col min="16141" max="16141" width="10" style="33"/>
    <col min="16142" max="16142" width="14.140625" style="33" bestFit="1" customWidth="1"/>
    <col min="16143" max="16384" width="10" style="33"/>
  </cols>
  <sheetData>
    <row r="1" spans="2:18" ht="46.9">
      <c r="E1" s="262" t="s">
        <v>31</v>
      </c>
      <c r="F1" s="262"/>
      <c r="G1" s="262"/>
      <c r="H1" s="262"/>
      <c r="I1" s="262"/>
      <c r="J1" s="262"/>
      <c r="K1" s="262"/>
      <c r="L1" s="262"/>
      <c r="M1" s="262"/>
      <c r="N1" s="263" t="s">
        <v>32</v>
      </c>
      <c r="O1" s="263"/>
      <c r="P1" s="263"/>
      <c r="Q1" s="263"/>
      <c r="R1" s="48"/>
    </row>
    <row r="2" spans="2:18" ht="26.45" thickBot="1">
      <c r="B2" s="264" t="s">
        <v>33</v>
      </c>
      <c r="C2" s="264"/>
      <c r="D2" s="264"/>
      <c r="E2" s="265" t="s">
        <v>34</v>
      </c>
      <c r="F2" s="265"/>
      <c r="G2" s="265" t="s">
        <v>35</v>
      </c>
      <c r="H2" s="265"/>
      <c r="I2" s="266" t="s">
        <v>36</v>
      </c>
      <c r="J2" s="266"/>
      <c r="K2" s="266"/>
      <c r="L2" s="266" t="s">
        <v>37</v>
      </c>
      <c r="M2" s="266"/>
      <c r="N2" s="267" t="s">
        <v>38</v>
      </c>
      <c r="O2" s="268"/>
      <c r="P2" s="269"/>
    </row>
    <row r="3" spans="2:18" ht="15.6">
      <c r="B3" s="107" t="s">
        <v>39</v>
      </c>
      <c r="C3" s="107" t="s">
        <v>40</v>
      </c>
      <c r="D3" s="107" t="s">
        <v>41</v>
      </c>
      <c r="E3" s="270" t="s">
        <v>42</v>
      </c>
      <c r="F3" s="270"/>
      <c r="G3" s="135" t="s">
        <v>43</v>
      </c>
      <c r="H3" s="135" t="s">
        <v>44</v>
      </c>
      <c r="I3" s="87" t="s">
        <v>45</v>
      </c>
      <c r="J3" s="88" t="s">
        <v>46</v>
      </c>
      <c r="K3" s="89" t="s">
        <v>47</v>
      </c>
      <c r="L3" s="90" t="s">
        <v>45</v>
      </c>
      <c r="M3" s="89" t="s">
        <v>47</v>
      </c>
      <c r="N3" s="165" t="s">
        <v>43</v>
      </c>
      <c r="O3" s="114" t="s">
        <v>44</v>
      </c>
      <c r="P3" s="166" t="s">
        <v>48</v>
      </c>
      <c r="Q3" s="163" t="s">
        <v>49</v>
      </c>
    </row>
    <row r="4" spans="2:18" ht="78" outlineLevel="1">
      <c r="B4" s="50">
        <v>50</v>
      </c>
      <c r="C4" s="50">
        <v>22.071000000000002</v>
      </c>
      <c r="D4" s="51">
        <f>C4/B4</f>
        <v>0.44142000000000003</v>
      </c>
      <c r="E4" s="52" t="s">
        <v>50</v>
      </c>
      <c r="F4" s="53" t="s">
        <v>51</v>
      </c>
      <c r="G4" s="54">
        <v>75</v>
      </c>
      <c r="H4" s="55" t="s">
        <v>52</v>
      </c>
      <c r="I4" s="96">
        <v>0</v>
      </c>
      <c r="J4" s="97">
        <f>G4-I4</f>
        <v>75</v>
      </c>
      <c r="K4" s="98">
        <f>I4/G4</f>
        <v>0</v>
      </c>
      <c r="L4" s="69">
        <f>I4/8*12</f>
        <v>0</v>
      </c>
      <c r="M4" s="98">
        <f>L4/G4</f>
        <v>0</v>
      </c>
      <c r="N4" s="167">
        <v>75</v>
      </c>
      <c r="O4" s="55" t="s">
        <v>52</v>
      </c>
      <c r="P4" s="168">
        <f>(N4-G4)/G4</f>
        <v>0</v>
      </c>
      <c r="Q4" s="203" t="s">
        <v>53</v>
      </c>
    </row>
    <row r="5" spans="2:18" ht="60" outlineLevel="1">
      <c r="B5" s="50">
        <v>0</v>
      </c>
      <c r="C5" s="50">
        <v>11.493</v>
      </c>
      <c r="D5" s="57" t="s">
        <v>52</v>
      </c>
      <c r="E5" s="52" t="s">
        <v>54</v>
      </c>
      <c r="F5" s="211" t="s">
        <v>55</v>
      </c>
      <c r="G5" s="54">
        <v>8</v>
      </c>
      <c r="H5" s="55" t="s">
        <v>52</v>
      </c>
      <c r="I5" s="96">
        <v>17.524000000000001</v>
      </c>
      <c r="J5" s="97">
        <f t="shared" ref="J5:J68" si="0">G5-I5</f>
        <v>-9.5240000000000009</v>
      </c>
      <c r="K5" s="98">
        <f t="shared" ref="K5:K68" si="1">I5/G5</f>
        <v>2.1905000000000001</v>
      </c>
      <c r="L5" s="69">
        <f>I5+(4.807*4)</f>
        <v>36.752000000000002</v>
      </c>
      <c r="M5" s="98">
        <f>L5/G5</f>
        <v>4.5940000000000003</v>
      </c>
      <c r="N5" s="167">
        <v>60</v>
      </c>
      <c r="O5" s="55" t="s">
        <v>52</v>
      </c>
      <c r="P5" s="168">
        <f>(N5-G5)/G5</f>
        <v>6.5</v>
      </c>
      <c r="Q5" s="204" t="s">
        <v>56</v>
      </c>
    </row>
    <row r="6" spans="2:18" ht="15.6" outlineLevel="1">
      <c r="B6" s="50">
        <v>0</v>
      </c>
      <c r="C6" s="50">
        <v>0</v>
      </c>
      <c r="D6" s="57" t="s">
        <v>52</v>
      </c>
      <c r="E6" s="52" t="s">
        <v>57</v>
      </c>
      <c r="F6" s="211" t="s">
        <v>58</v>
      </c>
      <c r="G6" s="162" t="s">
        <v>59</v>
      </c>
      <c r="H6" s="55" t="s">
        <v>52</v>
      </c>
      <c r="I6" s="99"/>
      <c r="J6" s="100" t="s">
        <v>52</v>
      </c>
      <c r="K6" s="101" t="s">
        <v>52</v>
      </c>
      <c r="L6" s="102" t="s">
        <v>52</v>
      </c>
      <c r="M6" s="102" t="s">
        <v>52</v>
      </c>
      <c r="N6" s="169" t="s">
        <v>52</v>
      </c>
      <c r="O6" s="55" t="s">
        <v>52</v>
      </c>
      <c r="P6" s="170" t="s">
        <v>52</v>
      </c>
      <c r="Q6" s="117" t="s">
        <v>60</v>
      </c>
    </row>
    <row r="7" spans="2:18" ht="31.15" outlineLevel="1">
      <c r="B7" s="50">
        <v>24</v>
      </c>
      <c r="C7" s="50">
        <v>113.43</v>
      </c>
      <c r="D7" s="51">
        <f t="shared" ref="D7:D13" si="2">C7/B7</f>
        <v>4.7262500000000003</v>
      </c>
      <c r="E7" s="53" t="s">
        <v>61</v>
      </c>
      <c r="F7" s="211" t="s">
        <v>62</v>
      </c>
      <c r="G7" s="54">
        <v>700</v>
      </c>
      <c r="H7" s="55" t="s">
        <v>52</v>
      </c>
      <c r="I7" s="96">
        <v>458.24200000000002</v>
      </c>
      <c r="J7" s="97">
        <f t="shared" si="0"/>
        <v>241.75799999999998</v>
      </c>
      <c r="K7" s="98">
        <f t="shared" si="1"/>
        <v>0.65463142857142864</v>
      </c>
      <c r="L7" s="69">
        <f>I7+(134.476*4)</f>
        <v>996.14599999999996</v>
      </c>
      <c r="M7" s="98">
        <f>L7/G7</f>
        <v>1.4230657142857142</v>
      </c>
      <c r="N7" s="167">
        <v>1700</v>
      </c>
      <c r="O7" s="55" t="s">
        <v>52</v>
      </c>
      <c r="P7" s="168">
        <f>(N7-G7)/G7</f>
        <v>1.4285714285714286</v>
      </c>
      <c r="Q7" s="204" t="s">
        <v>63</v>
      </c>
    </row>
    <row r="8" spans="2:18" ht="31.15" outlineLevel="1">
      <c r="B8" s="50">
        <v>24</v>
      </c>
      <c r="C8" s="50">
        <v>15.895</v>
      </c>
      <c r="D8" s="51">
        <f t="shared" si="2"/>
        <v>0.66229166666666661</v>
      </c>
      <c r="E8" s="52" t="s">
        <v>64</v>
      </c>
      <c r="F8" s="211" t="s">
        <v>65</v>
      </c>
      <c r="G8" s="54">
        <v>25</v>
      </c>
      <c r="H8" s="55" t="s">
        <v>52</v>
      </c>
      <c r="I8" s="96">
        <v>10.488</v>
      </c>
      <c r="J8" s="97">
        <f t="shared" si="0"/>
        <v>14.512</v>
      </c>
      <c r="K8" s="98">
        <f t="shared" si="1"/>
        <v>0.41952</v>
      </c>
      <c r="L8" s="69">
        <f>I8+(2.709*4)</f>
        <v>21.323999999999998</v>
      </c>
      <c r="M8" s="98">
        <f>L8/G8</f>
        <v>0.85295999999999994</v>
      </c>
      <c r="N8" s="167">
        <v>33</v>
      </c>
      <c r="O8" s="55" t="s">
        <v>52</v>
      </c>
      <c r="P8" s="168">
        <f>(N8-G8)/G8</f>
        <v>0.32</v>
      </c>
      <c r="Q8" s="204" t="s">
        <v>66</v>
      </c>
    </row>
    <row r="9" spans="2:18" ht="15.6" outlineLevel="1">
      <c r="B9" s="50">
        <v>0</v>
      </c>
      <c r="C9" s="50">
        <v>0</v>
      </c>
      <c r="D9" s="57" t="s">
        <v>52</v>
      </c>
      <c r="E9" s="52" t="s">
        <v>67</v>
      </c>
      <c r="F9" s="211" t="s">
        <v>68</v>
      </c>
      <c r="G9" s="162" t="s">
        <v>59</v>
      </c>
      <c r="H9" s="55" t="s">
        <v>52</v>
      </c>
      <c r="I9" s="99"/>
      <c r="J9" s="100" t="s">
        <v>52</v>
      </c>
      <c r="K9" s="101" t="s">
        <v>52</v>
      </c>
      <c r="L9" s="102" t="s">
        <v>52</v>
      </c>
      <c r="M9" s="102" t="s">
        <v>52</v>
      </c>
      <c r="N9" s="169" t="s">
        <v>52</v>
      </c>
      <c r="O9" s="55" t="s">
        <v>52</v>
      </c>
      <c r="P9" s="170" t="s">
        <v>52</v>
      </c>
      <c r="Q9" s="117" t="s">
        <v>69</v>
      </c>
    </row>
    <row r="10" spans="2:18" ht="15.6" outlineLevel="1">
      <c r="B10" s="50">
        <v>24</v>
      </c>
      <c r="C10" s="50">
        <v>14.334</v>
      </c>
      <c r="D10" s="51">
        <f t="shared" si="2"/>
        <v>0.59724999999999995</v>
      </c>
      <c r="E10" s="52" t="s">
        <v>70</v>
      </c>
      <c r="F10" s="211" t="s">
        <v>71</v>
      </c>
      <c r="G10" s="162" t="s">
        <v>59</v>
      </c>
      <c r="H10" s="55" t="s">
        <v>52</v>
      </c>
      <c r="I10" s="99"/>
      <c r="J10" s="100" t="s">
        <v>52</v>
      </c>
      <c r="K10" s="101" t="s">
        <v>52</v>
      </c>
      <c r="L10" s="102" t="s">
        <v>52</v>
      </c>
      <c r="M10" s="102" t="s">
        <v>52</v>
      </c>
      <c r="N10" s="169" t="s">
        <v>52</v>
      </c>
      <c r="O10" s="55" t="s">
        <v>52</v>
      </c>
      <c r="P10" s="170" t="s">
        <v>52</v>
      </c>
      <c r="Q10" s="117" t="s">
        <v>69</v>
      </c>
    </row>
    <row r="11" spans="2:18" ht="93.6" outlineLevel="1">
      <c r="B11" s="50">
        <v>30</v>
      </c>
      <c r="C11" s="50">
        <v>75.575000000000003</v>
      </c>
      <c r="D11" s="51">
        <f t="shared" si="2"/>
        <v>2.5191666666666666</v>
      </c>
      <c r="E11" s="58" t="s">
        <v>72</v>
      </c>
      <c r="F11" s="212" t="s">
        <v>73</v>
      </c>
      <c r="G11" s="59">
        <v>200</v>
      </c>
      <c r="H11" s="55" t="s">
        <v>52</v>
      </c>
      <c r="I11" s="103">
        <v>121.08799999999999</v>
      </c>
      <c r="J11" s="104">
        <f t="shared" si="0"/>
        <v>78.912000000000006</v>
      </c>
      <c r="K11" s="105">
        <f t="shared" si="1"/>
        <v>0.60543999999999998</v>
      </c>
      <c r="L11" s="69">
        <f>I11+(50*4)</f>
        <v>321.08799999999997</v>
      </c>
      <c r="M11" s="98">
        <f>L11/G11</f>
        <v>1.6054399999999998</v>
      </c>
      <c r="N11" s="167">
        <v>600</v>
      </c>
      <c r="O11" s="55" t="s">
        <v>52</v>
      </c>
      <c r="P11" s="168">
        <f>(N11-G11)/G11</f>
        <v>2</v>
      </c>
      <c r="Q11" s="203" t="s">
        <v>74</v>
      </c>
    </row>
    <row r="12" spans="2:18" ht="46.9" outlineLevel="1">
      <c r="B12" s="50">
        <v>24</v>
      </c>
      <c r="C12" s="50">
        <v>395.86500000000001</v>
      </c>
      <c r="D12" s="60">
        <f t="shared" si="2"/>
        <v>16.494375000000002</v>
      </c>
      <c r="E12" s="52" t="s">
        <v>75</v>
      </c>
      <c r="F12" s="211" t="s">
        <v>76</v>
      </c>
      <c r="G12" s="56">
        <v>514</v>
      </c>
      <c r="H12" s="55" t="s">
        <v>52</v>
      </c>
      <c r="I12" s="96">
        <v>346.70699999999999</v>
      </c>
      <c r="J12" s="97">
        <f t="shared" si="0"/>
        <v>167.29300000000001</v>
      </c>
      <c r="K12" s="98">
        <f t="shared" si="1"/>
        <v>0.6745272373540856</v>
      </c>
      <c r="L12" s="69">
        <f>I12+(57*4)</f>
        <v>574.70699999999999</v>
      </c>
      <c r="M12" s="98">
        <f>L12/G12</f>
        <v>1.1181070038910506</v>
      </c>
      <c r="N12" s="167">
        <v>848</v>
      </c>
      <c r="O12" s="55" t="s">
        <v>52</v>
      </c>
      <c r="P12" s="168">
        <f>(N12-G12)/G12</f>
        <v>0.64980544747081714</v>
      </c>
      <c r="Q12" s="204" t="s">
        <v>77</v>
      </c>
    </row>
    <row r="13" spans="2:18" ht="15.6" outlineLevel="1">
      <c r="B13" s="50">
        <v>1000</v>
      </c>
      <c r="C13" s="50">
        <v>53.470999999999997</v>
      </c>
      <c r="D13" s="51">
        <f t="shared" si="2"/>
        <v>5.3470999999999998E-2</v>
      </c>
      <c r="E13" s="52" t="s">
        <v>78</v>
      </c>
      <c r="F13" s="53" t="s">
        <v>79</v>
      </c>
      <c r="G13" s="56">
        <v>0</v>
      </c>
      <c r="H13" s="55" t="s">
        <v>52</v>
      </c>
      <c r="I13" s="106">
        <v>0</v>
      </c>
      <c r="J13" s="97">
        <f t="shared" si="0"/>
        <v>0</v>
      </c>
      <c r="K13" s="101" t="s">
        <v>52</v>
      </c>
      <c r="L13" s="69">
        <f>I13/10*12</f>
        <v>0</v>
      </c>
      <c r="M13" s="101" t="s">
        <v>52</v>
      </c>
      <c r="N13" s="167">
        <v>0</v>
      </c>
      <c r="O13" s="55" t="s">
        <v>52</v>
      </c>
      <c r="P13" s="101" t="s">
        <v>52</v>
      </c>
      <c r="Q13" s="117" t="s">
        <v>69</v>
      </c>
    </row>
    <row r="14" spans="2:18" ht="16.899999999999999">
      <c r="B14" s="108">
        <f>SUM(B4:B13)</f>
        <v>1176</v>
      </c>
      <c r="C14" s="108">
        <f>SUM(C4:C13)</f>
        <v>702.13400000000001</v>
      </c>
      <c r="D14" s="109">
        <f>C14/B14</f>
        <v>0.59705272108843543</v>
      </c>
      <c r="E14" s="61">
        <v>21</v>
      </c>
      <c r="F14" s="61" t="s">
        <v>80</v>
      </c>
      <c r="G14" s="62">
        <v>1522</v>
      </c>
      <c r="H14" s="63">
        <f>G14/G89</f>
        <v>5.0327359301633491E-2</v>
      </c>
      <c r="I14" s="81">
        <f>SUM(I4:I13)</f>
        <v>954.04899999999998</v>
      </c>
      <c r="J14" s="81">
        <f t="shared" si="0"/>
        <v>567.95100000000002</v>
      </c>
      <c r="K14" s="149">
        <f t="shared" si="1"/>
        <v>0.62683902759526933</v>
      </c>
      <c r="L14" s="81">
        <f>SUM(L4:L13)</f>
        <v>1950.0169999999998</v>
      </c>
      <c r="M14" s="160">
        <f>L14/G14</f>
        <v>1.2812201051248355</v>
      </c>
      <c r="N14" s="171">
        <f>SUM(N4:N13)</f>
        <v>3316</v>
      </c>
      <c r="O14" s="110">
        <f>N14/N89</f>
        <v>8.2793610210879012E-2</v>
      </c>
      <c r="P14" s="172">
        <f>(N14-G14)/G14</f>
        <v>1.178712220762155</v>
      </c>
      <c r="Q14" s="119">
        <f>N14-G14</f>
        <v>1794</v>
      </c>
    </row>
    <row r="15" spans="2:18" ht="15.6" outlineLevel="1">
      <c r="B15" s="50">
        <v>0</v>
      </c>
      <c r="C15" s="50">
        <v>94.56</v>
      </c>
      <c r="D15" s="57" t="s">
        <v>52</v>
      </c>
      <c r="E15" s="53" t="s">
        <v>81</v>
      </c>
      <c r="F15" s="53" t="s">
        <v>82</v>
      </c>
      <c r="G15" s="162" t="s">
        <v>59</v>
      </c>
      <c r="H15" s="55" t="s">
        <v>52</v>
      </c>
      <c r="I15" s="150">
        <v>84</v>
      </c>
      <c r="J15" s="100" t="s">
        <v>52</v>
      </c>
      <c r="K15" s="101" t="s">
        <v>52</v>
      </c>
      <c r="L15" s="185">
        <f>I15/8*12</f>
        <v>126</v>
      </c>
      <c r="M15" s="101" t="s">
        <v>52</v>
      </c>
      <c r="N15" s="169" t="s">
        <v>52</v>
      </c>
      <c r="O15" s="55" t="s">
        <v>52</v>
      </c>
      <c r="P15" s="170" t="s">
        <v>52</v>
      </c>
      <c r="Q15" s="117" t="s">
        <v>83</v>
      </c>
    </row>
    <row r="16" spans="2:18" ht="15.6" outlineLevel="1">
      <c r="B16" s="50">
        <v>20</v>
      </c>
      <c r="C16" s="50">
        <v>0</v>
      </c>
      <c r="D16" s="51">
        <f t="shared" ref="D16:D32" si="3">C16/B16</f>
        <v>0</v>
      </c>
      <c r="E16" s="53" t="s">
        <v>84</v>
      </c>
      <c r="F16" s="53" t="s">
        <v>85</v>
      </c>
      <c r="G16" s="162" t="s">
        <v>59</v>
      </c>
      <c r="H16" s="55" t="s">
        <v>52</v>
      </c>
      <c r="I16" s="150"/>
      <c r="J16" s="100" t="s">
        <v>52</v>
      </c>
      <c r="K16" s="101" t="s">
        <v>52</v>
      </c>
      <c r="L16" s="185">
        <f>I16/8*12</f>
        <v>0</v>
      </c>
      <c r="M16" s="102" t="s">
        <v>52</v>
      </c>
      <c r="N16" s="169" t="s">
        <v>52</v>
      </c>
      <c r="O16" s="55" t="s">
        <v>52</v>
      </c>
      <c r="P16" s="170" t="s">
        <v>86</v>
      </c>
      <c r="Q16" s="117" t="s">
        <v>69</v>
      </c>
    </row>
    <row r="17" spans="2:17" ht="15.6" outlineLevel="1">
      <c r="B17" s="50">
        <v>150</v>
      </c>
      <c r="C17" s="50">
        <v>14.776</v>
      </c>
      <c r="D17" s="51">
        <f t="shared" si="3"/>
        <v>9.8506666666666659E-2</v>
      </c>
      <c r="E17" s="53" t="s">
        <v>87</v>
      </c>
      <c r="F17" s="53" t="s">
        <v>88</v>
      </c>
      <c r="G17" s="54">
        <v>30</v>
      </c>
      <c r="H17" s="55" t="s">
        <v>52</v>
      </c>
      <c r="I17" s="69">
        <v>1.575</v>
      </c>
      <c r="J17" s="151">
        <f t="shared" si="0"/>
        <v>28.425000000000001</v>
      </c>
      <c r="K17" s="213">
        <f t="shared" si="1"/>
        <v>5.2499999999999998E-2</v>
      </c>
      <c r="L17" s="214">
        <f>I17/8*12</f>
        <v>2.3624999999999998</v>
      </c>
      <c r="M17" s="215">
        <f>L17/G17</f>
        <v>7.8750000000000001E-2</v>
      </c>
      <c r="N17" s="216">
        <v>30</v>
      </c>
      <c r="O17" s="55" t="s">
        <v>52</v>
      </c>
      <c r="P17" s="168">
        <f>(N17-G17)/G17</f>
        <v>0</v>
      </c>
      <c r="Q17" s="116" t="s">
        <v>89</v>
      </c>
    </row>
    <row r="18" spans="2:17" ht="15.6" outlineLevel="1">
      <c r="B18" s="50">
        <v>300</v>
      </c>
      <c r="C18" s="50">
        <v>164.679</v>
      </c>
      <c r="D18" s="51">
        <f t="shared" si="3"/>
        <v>0.54893000000000003</v>
      </c>
      <c r="E18" s="53" t="s">
        <v>90</v>
      </c>
      <c r="F18" s="53" t="s">
        <v>91</v>
      </c>
      <c r="G18" s="54">
        <v>3044</v>
      </c>
      <c r="H18" s="55" t="s">
        <v>52</v>
      </c>
      <c r="I18" s="69">
        <v>1298.674</v>
      </c>
      <c r="J18" s="151">
        <f t="shared" si="0"/>
        <v>1745.326</v>
      </c>
      <c r="K18" s="213">
        <f t="shared" si="1"/>
        <v>0.42663403416557161</v>
      </c>
      <c r="L18" s="214">
        <f>【參考用】【各組】2025年預算編列!G14</f>
        <v>1923</v>
      </c>
      <c r="M18" s="215">
        <f>L18/G18</f>
        <v>0.63173455978975035</v>
      </c>
      <c r="N18" s="258">
        <f>【各組】2026年預算編列!E21</f>
        <v>3192.4</v>
      </c>
      <c r="O18" s="55" t="s">
        <v>52</v>
      </c>
      <c r="P18" s="168">
        <f>(N18-G18)/G18</f>
        <v>4.8751642575558508E-2</v>
      </c>
      <c r="Q18" s="164" t="s">
        <v>92</v>
      </c>
    </row>
    <row r="19" spans="2:17" ht="15.6" outlineLevel="1">
      <c r="B19" s="50">
        <v>835</v>
      </c>
      <c r="C19" s="50">
        <v>613.18899999999996</v>
      </c>
      <c r="D19" s="51">
        <f t="shared" si="3"/>
        <v>0.73435808383233525</v>
      </c>
      <c r="E19" s="53" t="s">
        <v>93</v>
      </c>
      <c r="F19" s="53" t="s">
        <v>94</v>
      </c>
      <c r="G19" s="162" t="s">
        <v>59</v>
      </c>
      <c r="H19" s="55" t="s">
        <v>52</v>
      </c>
      <c r="I19" s="150"/>
      <c r="J19" s="100" t="s">
        <v>52</v>
      </c>
      <c r="K19" s="217" t="s">
        <v>52</v>
      </c>
      <c r="L19" s="218" t="s">
        <v>52</v>
      </c>
      <c r="M19" s="218" t="s">
        <v>52</v>
      </c>
      <c r="N19" s="219" t="s">
        <v>52</v>
      </c>
      <c r="O19" s="55" t="s">
        <v>52</v>
      </c>
      <c r="P19" s="170" t="s">
        <v>86</v>
      </c>
      <c r="Q19" s="117" t="s">
        <v>69</v>
      </c>
    </row>
    <row r="20" spans="2:17" ht="16.899999999999999">
      <c r="B20" s="108">
        <f>SUM(B15:B19)</f>
        <v>1305</v>
      </c>
      <c r="C20" s="108">
        <f>SUM(C15:C19)</f>
        <v>887.20399999999995</v>
      </c>
      <c r="D20" s="109">
        <f t="shared" si="3"/>
        <v>0.67984980842911868</v>
      </c>
      <c r="E20" s="64">
        <v>22</v>
      </c>
      <c r="F20" s="64" t="s">
        <v>95</v>
      </c>
      <c r="G20" s="65">
        <v>3074</v>
      </c>
      <c r="H20" s="63">
        <f>G20/G89</f>
        <v>0.10164671648700482</v>
      </c>
      <c r="I20" s="153">
        <f>SUM(I15:I19)</f>
        <v>1384.249</v>
      </c>
      <c r="J20" s="153">
        <f t="shared" si="0"/>
        <v>1689.751</v>
      </c>
      <c r="K20" s="154">
        <f t="shared" si="1"/>
        <v>0.45030871828236824</v>
      </c>
      <c r="L20" s="153">
        <f>SUM(L15:L19)</f>
        <v>2051.3625000000002</v>
      </c>
      <c r="M20" s="161">
        <f>L20/G20</f>
        <v>0.66732677293428766</v>
      </c>
      <c r="N20" s="259">
        <f>SUM(N15:N19)</f>
        <v>3222.4</v>
      </c>
      <c r="O20" s="68">
        <f>N20/N89</f>
        <v>8.0456613251971218E-2</v>
      </c>
      <c r="P20" s="172">
        <f>(N20-G20)/G20</f>
        <v>4.8275862068965544E-2</v>
      </c>
      <c r="Q20" s="119">
        <f>N20-G20</f>
        <v>148.40000000000009</v>
      </c>
    </row>
    <row r="21" spans="2:17" ht="15.6" outlineLevel="1">
      <c r="B21" s="50">
        <v>40</v>
      </c>
      <c r="C21" s="50">
        <v>15.124000000000001</v>
      </c>
      <c r="D21" s="51">
        <f t="shared" si="3"/>
        <v>0.37809999999999999</v>
      </c>
      <c r="E21" s="53" t="s">
        <v>96</v>
      </c>
      <c r="F21" s="53" t="s">
        <v>97</v>
      </c>
      <c r="G21" s="54">
        <v>80</v>
      </c>
      <c r="H21" s="55" t="s">
        <v>52</v>
      </c>
      <c r="I21" s="69">
        <v>2.5510000000000002</v>
      </c>
      <c r="J21" s="151">
        <f t="shared" si="0"/>
        <v>77.448999999999998</v>
      </c>
      <c r="K21" s="152">
        <f t="shared" si="1"/>
        <v>3.1887499999999999E-2</v>
      </c>
      <c r="L21" s="69">
        <f>I21/8*12</f>
        <v>3.8265000000000002</v>
      </c>
      <c r="M21" s="98">
        <f>L21/G21</f>
        <v>4.7831250000000006E-2</v>
      </c>
      <c r="N21" s="167">
        <v>80</v>
      </c>
      <c r="O21" s="55" t="s">
        <v>52</v>
      </c>
      <c r="P21" s="168">
        <f>(N21-G21)/G21</f>
        <v>0</v>
      </c>
      <c r="Q21" s="116" t="s">
        <v>98</v>
      </c>
    </row>
    <row r="22" spans="2:17" ht="15.6" outlineLevel="1">
      <c r="B22" s="50">
        <v>100</v>
      </c>
      <c r="C22" s="50">
        <v>15.435</v>
      </c>
      <c r="D22" s="51">
        <f t="shared" si="3"/>
        <v>0.15435000000000001</v>
      </c>
      <c r="E22" s="53" t="s">
        <v>99</v>
      </c>
      <c r="F22" s="53" t="s">
        <v>100</v>
      </c>
      <c r="G22" s="162" t="s">
        <v>59</v>
      </c>
      <c r="H22" s="55" t="s">
        <v>52</v>
      </c>
      <c r="I22" s="100"/>
      <c r="J22" s="100" t="s">
        <v>52</v>
      </c>
      <c r="K22" s="101" t="s">
        <v>52</v>
      </c>
      <c r="L22" s="102" t="s">
        <v>52</v>
      </c>
      <c r="M22" s="102" t="s">
        <v>52</v>
      </c>
      <c r="N22" s="169" t="s">
        <v>52</v>
      </c>
      <c r="O22" s="55" t="s">
        <v>52</v>
      </c>
      <c r="P22" s="170" t="s">
        <v>52</v>
      </c>
      <c r="Q22" s="117" t="s">
        <v>69</v>
      </c>
    </row>
    <row r="23" spans="2:17" ht="15.6" outlineLevel="1">
      <c r="B23" s="50">
        <v>150</v>
      </c>
      <c r="C23" s="50">
        <v>89.444000000000003</v>
      </c>
      <c r="D23" s="51">
        <f t="shared" si="3"/>
        <v>0.59629333333333334</v>
      </c>
      <c r="E23" s="53" t="s">
        <v>101</v>
      </c>
      <c r="F23" s="53" t="s">
        <v>102</v>
      </c>
      <c r="G23" s="54">
        <v>100</v>
      </c>
      <c r="H23" s="55" t="s">
        <v>52</v>
      </c>
      <c r="I23" s="69">
        <v>0</v>
      </c>
      <c r="J23" s="151">
        <f t="shared" si="0"/>
        <v>100</v>
      </c>
      <c r="K23" s="152">
        <f t="shared" si="1"/>
        <v>0</v>
      </c>
      <c r="L23" s="69">
        <f>I23/8*12</f>
        <v>0</v>
      </c>
      <c r="M23" s="98">
        <f>L23/G23</f>
        <v>0</v>
      </c>
      <c r="N23" s="167">
        <v>100</v>
      </c>
      <c r="O23" s="55" t="s">
        <v>52</v>
      </c>
      <c r="P23" s="168">
        <f>(N23-G23)/G23</f>
        <v>0</v>
      </c>
      <c r="Q23" s="116" t="s">
        <v>98</v>
      </c>
    </row>
    <row r="24" spans="2:17" ht="15.6" outlineLevel="1">
      <c r="B24" s="50">
        <v>0</v>
      </c>
      <c r="C24" s="50">
        <v>0</v>
      </c>
      <c r="D24" s="57" t="s">
        <v>52</v>
      </c>
      <c r="E24" s="53" t="s">
        <v>103</v>
      </c>
      <c r="F24" s="53" t="s">
        <v>104</v>
      </c>
      <c r="G24" s="162" t="s">
        <v>59</v>
      </c>
      <c r="H24" s="55" t="s">
        <v>52</v>
      </c>
      <c r="I24" s="100"/>
      <c r="J24" s="100" t="s">
        <v>52</v>
      </c>
      <c r="K24" s="101" t="s">
        <v>52</v>
      </c>
      <c r="L24" s="102" t="s">
        <v>52</v>
      </c>
      <c r="M24" s="102" t="s">
        <v>52</v>
      </c>
      <c r="N24" s="169" t="s">
        <v>52</v>
      </c>
      <c r="O24" s="55" t="s">
        <v>52</v>
      </c>
      <c r="P24" s="170" t="s">
        <v>52</v>
      </c>
      <c r="Q24" s="117" t="s">
        <v>69</v>
      </c>
    </row>
    <row r="25" spans="2:17" ht="15.6" outlineLevel="1">
      <c r="B25" s="50">
        <v>0</v>
      </c>
      <c r="C25" s="50">
        <v>0</v>
      </c>
      <c r="D25" s="57" t="s">
        <v>52</v>
      </c>
      <c r="E25" s="53" t="s">
        <v>105</v>
      </c>
      <c r="F25" s="53" t="s">
        <v>106</v>
      </c>
      <c r="G25" s="162" t="s">
        <v>59</v>
      </c>
      <c r="H25" s="55" t="s">
        <v>52</v>
      </c>
      <c r="I25" s="100"/>
      <c r="J25" s="100" t="s">
        <v>52</v>
      </c>
      <c r="K25" s="101" t="s">
        <v>52</v>
      </c>
      <c r="L25" s="102" t="s">
        <v>52</v>
      </c>
      <c r="M25" s="102" t="s">
        <v>52</v>
      </c>
      <c r="N25" s="169" t="s">
        <v>52</v>
      </c>
      <c r="O25" s="55" t="s">
        <v>52</v>
      </c>
      <c r="P25" s="170" t="s">
        <v>52</v>
      </c>
      <c r="Q25" s="117" t="s">
        <v>69</v>
      </c>
    </row>
    <row r="26" spans="2:17" ht="46.9" outlineLevel="1">
      <c r="B26" s="50">
        <v>140</v>
      </c>
      <c r="C26" s="50">
        <v>59.396000000000001</v>
      </c>
      <c r="D26" s="51">
        <f t="shared" si="3"/>
        <v>0.42425714285714289</v>
      </c>
      <c r="E26" s="53" t="s">
        <v>107</v>
      </c>
      <c r="F26" s="211" t="s">
        <v>108</v>
      </c>
      <c r="G26" s="54">
        <v>80</v>
      </c>
      <c r="H26" s="55" t="s">
        <v>52</v>
      </c>
      <c r="I26" s="69">
        <v>39.895000000000003</v>
      </c>
      <c r="J26" s="151">
        <f t="shared" si="0"/>
        <v>40.104999999999997</v>
      </c>
      <c r="K26" s="152">
        <f t="shared" si="1"/>
        <v>0.49868750000000006</v>
      </c>
      <c r="L26" s="69">
        <f>I26+(8.3*4)</f>
        <v>73.094999999999999</v>
      </c>
      <c r="M26" s="98">
        <f>L26/G26</f>
        <v>0.91368749999999999</v>
      </c>
      <c r="N26" s="167">
        <v>99</v>
      </c>
      <c r="O26" s="55" t="s">
        <v>52</v>
      </c>
      <c r="P26" s="168">
        <f>(N26-G26)/G26</f>
        <v>0.23749999999999999</v>
      </c>
      <c r="Q26" s="203" t="s">
        <v>109</v>
      </c>
    </row>
    <row r="27" spans="2:17" ht="15.6" outlineLevel="1">
      <c r="B27" s="50">
        <v>0</v>
      </c>
      <c r="C27" s="50">
        <v>0</v>
      </c>
      <c r="D27" s="57" t="s">
        <v>52</v>
      </c>
      <c r="E27" s="53" t="s">
        <v>110</v>
      </c>
      <c r="F27" s="211" t="s">
        <v>111</v>
      </c>
      <c r="G27" s="162" t="s">
        <v>59</v>
      </c>
      <c r="H27" s="55" t="s">
        <v>52</v>
      </c>
      <c r="I27" s="100"/>
      <c r="J27" s="100" t="s">
        <v>52</v>
      </c>
      <c r="K27" s="101" t="s">
        <v>52</v>
      </c>
      <c r="L27" s="102" t="s">
        <v>52</v>
      </c>
      <c r="M27" s="102" t="s">
        <v>52</v>
      </c>
      <c r="N27" s="169" t="s">
        <v>52</v>
      </c>
      <c r="O27" s="55" t="s">
        <v>52</v>
      </c>
      <c r="P27" s="170" t="s">
        <v>52</v>
      </c>
      <c r="Q27" s="117" t="s">
        <v>69</v>
      </c>
    </row>
    <row r="28" spans="2:17" ht="15.6" outlineLevel="1">
      <c r="B28" s="50">
        <v>0</v>
      </c>
      <c r="C28" s="50">
        <v>0</v>
      </c>
      <c r="D28" s="57" t="s">
        <v>52</v>
      </c>
      <c r="E28" s="53" t="s">
        <v>112</v>
      </c>
      <c r="F28" s="211" t="s">
        <v>113</v>
      </c>
      <c r="G28" s="162" t="s">
        <v>59</v>
      </c>
      <c r="H28" s="55" t="s">
        <v>52</v>
      </c>
      <c r="I28" s="100"/>
      <c r="J28" s="100" t="s">
        <v>52</v>
      </c>
      <c r="K28" s="101" t="s">
        <v>52</v>
      </c>
      <c r="L28" s="102" t="s">
        <v>52</v>
      </c>
      <c r="M28" s="102" t="s">
        <v>52</v>
      </c>
      <c r="N28" s="169" t="s">
        <v>52</v>
      </c>
      <c r="O28" s="55" t="s">
        <v>52</v>
      </c>
      <c r="P28" s="170" t="s">
        <v>52</v>
      </c>
      <c r="Q28" s="117" t="s">
        <v>69</v>
      </c>
    </row>
    <row r="29" spans="2:17" ht="15.6" outlineLevel="1">
      <c r="B29" s="50">
        <v>30</v>
      </c>
      <c r="C29" s="50">
        <v>8.7620000000000005</v>
      </c>
      <c r="D29" s="51">
        <f t="shared" si="3"/>
        <v>0.2920666666666667</v>
      </c>
      <c r="E29" s="53" t="s">
        <v>114</v>
      </c>
      <c r="F29" s="211" t="s">
        <v>115</v>
      </c>
      <c r="G29" s="54">
        <v>50</v>
      </c>
      <c r="H29" s="55" t="s">
        <v>52</v>
      </c>
      <c r="I29" s="69">
        <v>18.306999999999999</v>
      </c>
      <c r="J29" s="151">
        <f t="shared" si="0"/>
        <v>31.693000000000001</v>
      </c>
      <c r="K29" s="152">
        <f t="shared" si="1"/>
        <v>0.36613999999999997</v>
      </c>
      <c r="L29" s="69">
        <f>I29/8*12</f>
        <v>27.460499999999996</v>
      </c>
      <c r="M29" s="98">
        <f>L29/G29</f>
        <v>0.54920999999999998</v>
      </c>
      <c r="N29" s="167">
        <v>50</v>
      </c>
      <c r="O29" s="55" t="s">
        <v>52</v>
      </c>
      <c r="P29" s="168">
        <f>(N29-G29)/G29</f>
        <v>0</v>
      </c>
      <c r="Q29" s="116" t="s">
        <v>89</v>
      </c>
    </row>
    <row r="30" spans="2:17" ht="15.6" outlineLevel="1">
      <c r="B30" s="50">
        <v>0</v>
      </c>
      <c r="C30" s="50">
        <v>0</v>
      </c>
      <c r="D30" s="57" t="s">
        <v>52</v>
      </c>
      <c r="E30" s="53" t="s">
        <v>116</v>
      </c>
      <c r="F30" s="211" t="s">
        <v>117</v>
      </c>
      <c r="G30" s="162" t="s">
        <v>59</v>
      </c>
      <c r="H30" s="55" t="s">
        <v>52</v>
      </c>
      <c r="I30" s="100"/>
      <c r="J30" s="100" t="s">
        <v>52</v>
      </c>
      <c r="K30" s="101" t="s">
        <v>52</v>
      </c>
      <c r="L30" s="102" t="s">
        <v>52</v>
      </c>
      <c r="M30" s="102" t="s">
        <v>52</v>
      </c>
      <c r="N30" s="169" t="s">
        <v>52</v>
      </c>
      <c r="O30" s="55" t="s">
        <v>52</v>
      </c>
      <c r="P30" s="170" t="s">
        <v>52</v>
      </c>
      <c r="Q30" s="117" t="s">
        <v>69</v>
      </c>
    </row>
    <row r="31" spans="2:17" ht="46.9" outlineLevel="1">
      <c r="B31" s="50">
        <v>40</v>
      </c>
      <c r="C31" s="50">
        <v>33.267000000000003</v>
      </c>
      <c r="D31" s="51">
        <f t="shared" si="3"/>
        <v>0.83167500000000005</v>
      </c>
      <c r="E31" s="53" t="s">
        <v>118</v>
      </c>
      <c r="F31" s="211" t="s">
        <v>119</v>
      </c>
      <c r="G31" s="54">
        <v>100</v>
      </c>
      <c r="H31" s="55" t="s">
        <v>52</v>
      </c>
      <c r="I31" s="69">
        <v>60.054000000000002</v>
      </c>
      <c r="J31" s="151">
        <f t="shared" si="0"/>
        <v>39.945999999999998</v>
      </c>
      <c r="K31" s="152">
        <f t="shared" si="1"/>
        <v>0.60054000000000007</v>
      </c>
      <c r="L31" s="69">
        <f>I31/8*12</f>
        <v>90.081000000000003</v>
      </c>
      <c r="M31" s="98">
        <f t="shared" ref="M31:M42" si="4">L31/G31</f>
        <v>0.90081</v>
      </c>
      <c r="N31" s="167">
        <v>125</v>
      </c>
      <c r="O31" s="55" t="s">
        <v>52</v>
      </c>
      <c r="P31" s="168">
        <f t="shared" ref="P31:P37" si="5">(N31-G31)/G31</f>
        <v>0.25</v>
      </c>
      <c r="Q31" s="204" t="s">
        <v>120</v>
      </c>
    </row>
    <row r="32" spans="2:17" ht="15.6" outlineLevel="1">
      <c r="B32" s="50">
        <v>40</v>
      </c>
      <c r="C32" s="50">
        <v>6.3559999999999999</v>
      </c>
      <c r="D32" s="51">
        <f t="shared" si="3"/>
        <v>0.15889999999999999</v>
      </c>
      <c r="E32" s="53" t="s">
        <v>121</v>
      </c>
      <c r="F32" s="53" t="s">
        <v>122</v>
      </c>
      <c r="G32" s="54">
        <v>80</v>
      </c>
      <c r="H32" s="55" t="s">
        <v>52</v>
      </c>
      <c r="I32" s="69">
        <v>45.253999999999998</v>
      </c>
      <c r="J32" s="151">
        <f t="shared" si="0"/>
        <v>34.746000000000002</v>
      </c>
      <c r="K32" s="152">
        <f t="shared" si="1"/>
        <v>0.56567499999999993</v>
      </c>
      <c r="L32" s="69">
        <f>I32/8*12</f>
        <v>67.881</v>
      </c>
      <c r="M32" s="98">
        <f t="shared" si="4"/>
        <v>0.8485125</v>
      </c>
      <c r="N32" s="167">
        <v>80</v>
      </c>
      <c r="O32" s="55" t="s">
        <v>52</v>
      </c>
      <c r="P32" s="168">
        <f t="shared" si="5"/>
        <v>0</v>
      </c>
      <c r="Q32" s="116" t="s">
        <v>98</v>
      </c>
    </row>
    <row r="33" spans="2:17" ht="16.899999999999999">
      <c r="B33" s="108">
        <f>SUM(B21:B32)</f>
        <v>540</v>
      </c>
      <c r="C33" s="108">
        <f>SUM(C21:C32)</f>
        <v>227.78399999999999</v>
      </c>
      <c r="D33" s="109">
        <f>C33/B33</f>
        <v>0.42182222222222221</v>
      </c>
      <c r="E33" s="64">
        <v>23</v>
      </c>
      <c r="F33" s="64" t="s">
        <v>123</v>
      </c>
      <c r="G33" s="65">
        <v>490</v>
      </c>
      <c r="H33" s="63">
        <f>G33/G89</f>
        <v>1.6202632101051519E-2</v>
      </c>
      <c r="I33" s="153">
        <f>SUM(I21:I32)</f>
        <v>166.06100000000001</v>
      </c>
      <c r="J33" s="153">
        <f t="shared" si="0"/>
        <v>323.93899999999996</v>
      </c>
      <c r="K33" s="154">
        <f t="shared" si="1"/>
        <v>0.33890000000000003</v>
      </c>
      <c r="L33" s="153">
        <f>SUM(L21:L32)</f>
        <v>262.34399999999999</v>
      </c>
      <c r="M33" s="161">
        <f t="shared" si="4"/>
        <v>0.5353959183673469</v>
      </c>
      <c r="N33" s="173">
        <f>SUM(N21:N32)</f>
        <v>534</v>
      </c>
      <c r="O33" s="68">
        <f>N33/N89</f>
        <v>1.333286726556375E-2</v>
      </c>
      <c r="P33" s="172">
        <f t="shared" si="5"/>
        <v>8.9795918367346933E-2</v>
      </c>
      <c r="Q33" s="119">
        <f>N33-G33</f>
        <v>44</v>
      </c>
    </row>
    <row r="34" spans="2:17" ht="46.9" outlineLevel="1">
      <c r="B34" s="50">
        <v>100</v>
      </c>
      <c r="C34" s="50">
        <v>69.796999999999997</v>
      </c>
      <c r="D34" s="60">
        <f>C34/B34</f>
        <v>0.69796999999999998</v>
      </c>
      <c r="E34" s="53" t="s">
        <v>124</v>
      </c>
      <c r="F34" s="211" t="s">
        <v>125</v>
      </c>
      <c r="G34" s="54">
        <v>100</v>
      </c>
      <c r="H34" s="55" t="s">
        <v>52</v>
      </c>
      <c r="I34" s="150">
        <v>59.975000000000001</v>
      </c>
      <c r="J34" s="150">
        <f t="shared" si="0"/>
        <v>40.024999999999999</v>
      </c>
      <c r="K34" s="155">
        <f t="shared" si="1"/>
        <v>0.59975000000000001</v>
      </c>
      <c r="L34" s="69">
        <f>I34+(12.5*4)</f>
        <v>109.97499999999999</v>
      </c>
      <c r="M34" s="98">
        <f t="shared" si="4"/>
        <v>1.09975</v>
      </c>
      <c r="N34" s="167">
        <v>150</v>
      </c>
      <c r="O34" s="55" t="s">
        <v>52</v>
      </c>
      <c r="P34" s="168">
        <f t="shared" si="5"/>
        <v>0.5</v>
      </c>
      <c r="Q34" s="204" t="s">
        <v>126</v>
      </c>
    </row>
    <row r="35" spans="2:17" ht="46.9" outlineLevel="1">
      <c r="B35" s="50">
        <v>60</v>
      </c>
      <c r="C35" s="50">
        <v>48.076000000000001</v>
      </c>
      <c r="D35" s="51">
        <f>C35/B35</f>
        <v>0.80126666666666668</v>
      </c>
      <c r="E35" s="66" t="s">
        <v>127</v>
      </c>
      <c r="F35" s="220" t="s">
        <v>128</v>
      </c>
      <c r="G35" s="67">
        <v>600</v>
      </c>
      <c r="H35" s="55" t="s">
        <v>52</v>
      </c>
      <c r="I35" s="156">
        <v>390.76</v>
      </c>
      <c r="J35" s="157">
        <f t="shared" si="0"/>
        <v>209.24</v>
      </c>
      <c r="K35" s="158">
        <f t="shared" si="1"/>
        <v>0.65126666666666666</v>
      </c>
      <c r="L35" s="69">
        <f>I35+(75*4)</f>
        <v>690.76</v>
      </c>
      <c r="M35" s="98">
        <f t="shared" si="4"/>
        <v>1.1512666666666667</v>
      </c>
      <c r="N35" s="167">
        <v>905</v>
      </c>
      <c r="O35" s="55" t="s">
        <v>52</v>
      </c>
      <c r="P35" s="168">
        <f t="shared" si="5"/>
        <v>0.5083333333333333</v>
      </c>
      <c r="Q35" s="204" t="s">
        <v>129</v>
      </c>
    </row>
    <row r="36" spans="2:17" ht="15.6" outlineLevel="1">
      <c r="B36" s="50">
        <v>10</v>
      </c>
      <c r="C36" s="50">
        <v>4.4809999999999999</v>
      </c>
      <c r="D36" s="51">
        <f>C36/B36</f>
        <v>0.4481</v>
      </c>
      <c r="E36" s="53" t="s">
        <v>130</v>
      </c>
      <c r="F36" s="53" t="s">
        <v>131</v>
      </c>
      <c r="G36" s="54">
        <v>20</v>
      </c>
      <c r="H36" s="55" t="s">
        <v>52</v>
      </c>
      <c r="I36" s="69">
        <v>2.4380000000000002</v>
      </c>
      <c r="J36" s="151">
        <f t="shared" si="0"/>
        <v>17.562000000000001</v>
      </c>
      <c r="K36" s="152">
        <f t="shared" si="1"/>
        <v>0.12190000000000001</v>
      </c>
      <c r="L36" s="69">
        <f>I36/8*12</f>
        <v>3.657</v>
      </c>
      <c r="M36" s="98">
        <f t="shared" si="4"/>
        <v>0.18285000000000001</v>
      </c>
      <c r="N36" s="167">
        <v>20</v>
      </c>
      <c r="O36" s="55" t="s">
        <v>52</v>
      </c>
      <c r="P36" s="168">
        <f t="shared" si="5"/>
        <v>0</v>
      </c>
      <c r="Q36" s="116" t="s">
        <v>98</v>
      </c>
    </row>
    <row r="37" spans="2:17" ht="15.6" outlineLevel="1">
      <c r="B37" s="50">
        <v>5</v>
      </c>
      <c r="C37" s="50">
        <v>0</v>
      </c>
      <c r="D37" s="51">
        <f>C37/B37</f>
        <v>0</v>
      </c>
      <c r="E37" s="53" t="s">
        <v>132</v>
      </c>
      <c r="F37" s="53" t="s">
        <v>133</v>
      </c>
      <c r="G37" s="54">
        <v>5</v>
      </c>
      <c r="H37" s="55" t="s">
        <v>52</v>
      </c>
      <c r="I37" s="69">
        <v>0</v>
      </c>
      <c r="J37" s="151">
        <f t="shared" si="0"/>
        <v>5</v>
      </c>
      <c r="K37" s="152">
        <f t="shared" si="1"/>
        <v>0</v>
      </c>
      <c r="L37" s="69">
        <f>I37/8*12</f>
        <v>0</v>
      </c>
      <c r="M37" s="98">
        <f t="shared" si="4"/>
        <v>0</v>
      </c>
      <c r="N37" s="167">
        <v>5</v>
      </c>
      <c r="O37" s="55" t="s">
        <v>52</v>
      </c>
      <c r="P37" s="168">
        <f t="shared" si="5"/>
        <v>0</v>
      </c>
      <c r="Q37" s="116" t="s">
        <v>98</v>
      </c>
    </row>
    <row r="38" spans="2:17" ht="15.6" outlineLevel="1">
      <c r="B38" s="50">
        <v>0</v>
      </c>
      <c r="C38" s="50">
        <v>0</v>
      </c>
      <c r="D38" s="51">
        <v>0</v>
      </c>
      <c r="E38" s="53" t="s">
        <v>134</v>
      </c>
      <c r="F38" s="53" t="s">
        <v>135</v>
      </c>
      <c r="G38" s="54">
        <v>100</v>
      </c>
      <c r="H38" s="55" t="s">
        <v>52</v>
      </c>
      <c r="I38" s="69">
        <v>0</v>
      </c>
      <c r="J38" s="151">
        <f t="shared" ref="J38" si="6">G38-I38</f>
        <v>100</v>
      </c>
      <c r="K38" s="152">
        <f t="shared" ref="K38" si="7">I38/G38</f>
        <v>0</v>
      </c>
      <c r="L38" s="69">
        <f>I38/8*12</f>
        <v>0</v>
      </c>
      <c r="M38" s="98">
        <f t="shared" si="4"/>
        <v>0</v>
      </c>
      <c r="N38" s="167">
        <v>100</v>
      </c>
      <c r="O38" s="55" t="s">
        <v>52</v>
      </c>
      <c r="P38" s="174" t="s">
        <v>52</v>
      </c>
      <c r="Q38" s="117" t="s">
        <v>69</v>
      </c>
    </row>
    <row r="39" spans="2:17" ht="16.899999999999999">
      <c r="B39" s="108">
        <f>SUM(B34:B38)</f>
        <v>175</v>
      </c>
      <c r="C39" s="108">
        <f>SUM(C34:C38)</f>
        <v>122.35399999999998</v>
      </c>
      <c r="D39" s="109">
        <f>C39/B39</f>
        <v>0.69916571428571417</v>
      </c>
      <c r="E39" s="61">
        <v>24</v>
      </c>
      <c r="F39" s="61" t="s">
        <v>136</v>
      </c>
      <c r="G39" s="62">
        <v>825</v>
      </c>
      <c r="H39" s="63">
        <f>G39/G89</f>
        <v>2.7279941802790822E-2</v>
      </c>
      <c r="I39" s="81">
        <f>SUM(I34:I38)</f>
        <v>453.173</v>
      </c>
      <c r="J39" s="81">
        <f t="shared" si="0"/>
        <v>371.827</v>
      </c>
      <c r="K39" s="149">
        <f t="shared" si="1"/>
        <v>0.54930060606060604</v>
      </c>
      <c r="L39" s="81">
        <f>SUM(L34:L38)</f>
        <v>804.39200000000005</v>
      </c>
      <c r="M39" s="160">
        <f t="shared" si="4"/>
        <v>0.97502060606060614</v>
      </c>
      <c r="N39" s="173">
        <f>SUM(N34:N38)</f>
        <v>1180</v>
      </c>
      <c r="O39" s="68">
        <f>N39/N89</f>
        <v>2.9462141148624017E-2</v>
      </c>
      <c r="P39" s="172">
        <f>(N39-G39)/G39</f>
        <v>0.4303030303030303</v>
      </c>
      <c r="Q39" s="119">
        <f>N39-G39</f>
        <v>355</v>
      </c>
    </row>
    <row r="40" spans="2:17" ht="15.6" outlineLevel="1">
      <c r="B40" s="50">
        <v>400</v>
      </c>
      <c r="C40" s="50">
        <v>0</v>
      </c>
      <c r="D40" s="51">
        <f>C40/B40</f>
        <v>0</v>
      </c>
      <c r="E40" s="53" t="s">
        <v>137</v>
      </c>
      <c r="F40" s="53" t="s">
        <v>138</v>
      </c>
      <c r="G40" s="54">
        <v>630</v>
      </c>
      <c r="H40" s="55" t="s">
        <v>52</v>
      </c>
      <c r="I40" s="69">
        <v>0</v>
      </c>
      <c r="J40" s="151">
        <f t="shared" si="0"/>
        <v>630</v>
      </c>
      <c r="K40" s="152">
        <f t="shared" si="1"/>
        <v>0</v>
      </c>
      <c r="L40" s="69">
        <f>I40/8*12</f>
        <v>0</v>
      </c>
      <c r="M40" s="98">
        <f t="shared" si="4"/>
        <v>0</v>
      </c>
      <c r="N40" s="175">
        <v>630</v>
      </c>
      <c r="O40" s="55" t="s">
        <v>52</v>
      </c>
      <c r="P40" s="168">
        <f>(N40-G40)/G40</f>
        <v>0</v>
      </c>
      <c r="Q40" s="116" t="s">
        <v>98</v>
      </c>
    </row>
    <row r="41" spans="2:17" ht="15.6" outlineLevel="1">
      <c r="B41" s="50">
        <v>800</v>
      </c>
      <c r="C41" s="50">
        <v>0</v>
      </c>
      <c r="D41" s="51">
        <f>C41/B41</f>
        <v>0</v>
      </c>
      <c r="E41" s="53" t="s">
        <v>139</v>
      </c>
      <c r="F41" s="53" t="s">
        <v>140</v>
      </c>
      <c r="G41" s="54">
        <v>750</v>
      </c>
      <c r="H41" s="55" t="s">
        <v>52</v>
      </c>
      <c r="I41" s="69">
        <v>311.928</v>
      </c>
      <c r="J41" s="151">
        <f t="shared" si="0"/>
        <v>438.072</v>
      </c>
      <c r="K41" s="152">
        <f t="shared" si="1"/>
        <v>0.415904</v>
      </c>
      <c r="L41" s="69">
        <f>I41/8*12</f>
        <v>467.892</v>
      </c>
      <c r="M41" s="98">
        <f t="shared" si="4"/>
        <v>0.62385599999999997</v>
      </c>
      <c r="N41" s="175">
        <v>750</v>
      </c>
      <c r="O41" s="55" t="s">
        <v>52</v>
      </c>
      <c r="P41" s="168">
        <f>(N41-G41)/G41</f>
        <v>0</v>
      </c>
      <c r="Q41" s="116" t="s">
        <v>141</v>
      </c>
    </row>
    <row r="42" spans="2:17" ht="15.6" outlineLevel="1">
      <c r="B42" s="50">
        <v>300</v>
      </c>
      <c r="C42" s="50">
        <v>13.244</v>
      </c>
      <c r="D42" s="51">
        <f>C42/B42</f>
        <v>4.4146666666666667E-2</v>
      </c>
      <c r="E42" s="53" t="s">
        <v>142</v>
      </c>
      <c r="F42" s="53" t="s">
        <v>143</v>
      </c>
      <c r="G42" s="54">
        <v>300</v>
      </c>
      <c r="H42" s="55" t="s">
        <v>52</v>
      </c>
      <c r="I42" s="69">
        <v>157.58199999999999</v>
      </c>
      <c r="J42" s="151">
        <f t="shared" si="0"/>
        <v>142.41800000000001</v>
      </c>
      <c r="K42" s="152">
        <f t="shared" si="1"/>
        <v>0.52527333333333326</v>
      </c>
      <c r="L42" s="69">
        <f>I42/8*12</f>
        <v>236.37299999999999</v>
      </c>
      <c r="M42" s="98">
        <f t="shared" si="4"/>
        <v>0.78791</v>
      </c>
      <c r="N42" s="175">
        <v>300</v>
      </c>
      <c r="O42" s="55" t="s">
        <v>52</v>
      </c>
      <c r="P42" s="168">
        <f>(N42-G42)/G42</f>
        <v>0</v>
      </c>
      <c r="Q42" s="116" t="s">
        <v>98</v>
      </c>
    </row>
    <row r="43" spans="2:17" ht="15.6" outlineLevel="1">
      <c r="B43" s="50">
        <v>0</v>
      </c>
      <c r="C43" s="50">
        <v>0</v>
      </c>
      <c r="D43" s="57" t="s">
        <v>52</v>
      </c>
      <c r="E43" s="53" t="s">
        <v>144</v>
      </c>
      <c r="F43" s="53" t="s">
        <v>145</v>
      </c>
      <c r="G43" s="162" t="s">
        <v>59</v>
      </c>
      <c r="H43" s="55" t="s">
        <v>52</v>
      </c>
      <c r="I43" s="100"/>
      <c r="J43" s="100" t="s">
        <v>52</v>
      </c>
      <c r="K43" s="101" t="s">
        <v>52</v>
      </c>
      <c r="L43" s="102" t="s">
        <v>52</v>
      </c>
      <c r="M43" s="102" t="s">
        <v>52</v>
      </c>
      <c r="N43" s="169" t="s">
        <v>52</v>
      </c>
      <c r="O43" s="55" t="s">
        <v>52</v>
      </c>
      <c r="P43" s="170" t="s">
        <v>52</v>
      </c>
      <c r="Q43" s="117" t="s">
        <v>146</v>
      </c>
    </row>
    <row r="44" spans="2:17" ht="15.6" outlineLevel="1">
      <c r="B44" s="50">
        <v>0</v>
      </c>
      <c r="C44" s="50">
        <v>0</v>
      </c>
      <c r="D44" s="57" t="s">
        <v>52</v>
      </c>
      <c r="E44" s="53" t="s">
        <v>147</v>
      </c>
      <c r="F44" s="53" t="s">
        <v>148</v>
      </c>
      <c r="G44" s="162" t="s">
        <v>59</v>
      </c>
      <c r="H44" s="55" t="s">
        <v>52</v>
      </c>
      <c r="I44" s="100"/>
      <c r="J44" s="100" t="s">
        <v>52</v>
      </c>
      <c r="K44" s="101" t="s">
        <v>52</v>
      </c>
      <c r="L44" s="102" t="s">
        <v>52</v>
      </c>
      <c r="M44" s="102" t="s">
        <v>52</v>
      </c>
      <c r="N44" s="169" t="s">
        <v>52</v>
      </c>
      <c r="O44" s="55" t="s">
        <v>52</v>
      </c>
      <c r="P44" s="170" t="s">
        <v>52</v>
      </c>
      <c r="Q44" s="117" t="s">
        <v>146</v>
      </c>
    </row>
    <row r="45" spans="2:17" ht="15.6" outlineLevel="1">
      <c r="B45" s="50">
        <v>0</v>
      </c>
      <c r="C45" s="50">
        <v>0</v>
      </c>
      <c r="D45" s="57" t="s">
        <v>52</v>
      </c>
      <c r="E45" s="53" t="s">
        <v>149</v>
      </c>
      <c r="F45" s="53" t="s">
        <v>150</v>
      </c>
      <c r="G45" s="162" t="s">
        <v>59</v>
      </c>
      <c r="H45" s="55" t="s">
        <v>52</v>
      </c>
      <c r="I45" s="100"/>
      <c r="J45" s="100" t="s">
        <v>52</v>
      </c>
      <c r="K45" s="101" t="s">
        <v>52</v>
      </c>
      <c r="L45" s="102" t="s">
        <v>52</v>
      </c>
      <c r="M45" s="102" t="s">
        <v>52</v>
      </c>
      <c r="N45" s="169" t="s">
        <v>52</v>
      </c>
      <c r="O45" s="55" t="s">
        <v>52</v>
      </c>
      <c r="P45" s="170" t="s">
        <v>52</v>
      </c>
      <c r="Q45" s="117" t="s">
        <v>146</v>
      </c>
    </row>
    <row r="46" spans="2:17" ht="15.6" outlineLevel="1">
      <c r="B46" s="50">
        <v>0</v>
      </c>
      <c r="C46" s="50">
        <v>0</v>
      </c>
      <c r="D46" s="57" t="s">
        <v>52</v>
      </c>
      <c r="E46" s="53" t="s">
        <v>151</v>
      </c>
      <c r="F46" s="53" t="s">
        <v>152</v>
      </c>
      <c r="G46" s="162" t="s">
        <v>59</v>
      </c>
      <c r="H46" s="55" t="s">
        <v>52</v>
      </c>
      <c r="I46" s="100"/>
      <c r="J46" s="100" t="s">
        <v>52</v>
      </c>
      <c r="K46" s="101" t="s">
        <v>52</v>
      </c>
      <c r="L46" s="102" t="s">
        <v>52</v>
      </c>
      <c r="M46" s="102" t="s">
        <v>52</v>
      </c>
      <c r="N46" s="169" t="s">
        <v>52</v>
      </c>
      <c r="O46" s="55" t="s">
        <v>52</v>
      </c>
      <c r="P46" s="170" t="s">
        <v>52</v>
      </c>
      <c r="Q46" s="117" t="s">
        <v>146</v>
      </c>
    </row>
    <row r="47" spans="2:17" ht="15.6" outlineLevel="1">
      <c r="B47" s="50">
        <v>0</v>
      </c>
      <c r="C47" s="50">
        <v>0</v>
      </c>
      <c r="D47" s="57" t="s">
        <v>52</v>
      </c>
      <c r="E47" s="53" t="s">
        <v>153</v>
      </c>
      <c r="F47" s="53" t="s">
        <v>154</v>
      </c>
      <c r="G47" s="162" t="s">
        <v>59</v>
      </c>
      <c r="H47" s="55" t="s">
        <v>52</v>
      </c>
      <c r="I47" s="100"/>
      <c r="J47" s="100" t="s">
        <v>52</v>
      </c>
      <c r="K47" s="101" t="s">
        <v>52</v>
      </c>
      <c r="L47" s="102" t="s">
        <v>52</v>
      </c>
      <c r="M47" s="102" t="s">
        <v>52</v>
      </c>
      <c r="N47" s="169" t="s">
        <v>52</v>
      </c>
      <c r="O47" s="55" t="s">
        <v>52</v>
      </c>
      <c r="P47" s="170" t="s">
        <v>52</v>
      </c>
      <c r="Q47" s="117" t="s">
        <v>146</v>
      </c>
    </row>
    <row r="48" spans="2:17" ht="15.6" outlineLevel="1">
      <c r="B48" s="50">
        <v>0</v>
      </c>
      <c r="C48" s="50">
        <v>0</v>
      </c>
      <c r="D48" s="57" t="s">
        <v>52</v>
      </c>
      <c r="E48" s="53" t="s">
        <v>155</v>
      </c>
      <c r="F48" s="53" t="s">
        <v>156</v>
      </c>
      <c r="G48" s="162" t="s">
        <v>59</v>
      </c>
      <c r="H48" s="55" t="s">
        <v>52</v>
      </c>
      <c r="I48" s="100"/>
      <c r="J48" s="100" t="s">
        <v>52</v>
      </c>
      <c r="K48" s="101" t="s">
        <v>52</v>
      </c>
      <c r="L48" s="102" t="s">
        <v>52</v>
      </c>
      <c r="M48" s="102" t="s">
        <v>52</v>
      </c>
      <c r="N48" s="169" t="s">
        <v>52</v>
      </c>
      <c r="O48" s="55" t="s">
        <v>52</v>
      </c>
      <c r="P48" s="170" t="s">
        <v>52</v>
      </c>
      <c r="Q48" s="117" t="s">
        <v>146</v>
      </c>
    </row>
    <row r="49" spans="2:17" ht="15.6" outlineLevel="1">
      <c r="B49" s="50">
        <v>0</v>
      </c>
      <c r="C49" s="50">
        <v>0</v>
      </c>
      <c r="D49" s="57" t="s">
        <v>52</v>
      </c>
      <c r="E49" s="53" t="s">
        <v>157</v>
      </c>
      <c r="F49" s="53" t="s">
        <v>158</v>
      </c>
      <c r="G49" s="162" t="s">
        <v>59</v>
      </c>
      <c r="H49" s="55" t="s">
        <v>52</v>
      </c>
      <c r="I49" s="100"/>
      <c r="J49" s="100" t="s">
        <v>52</v>
      </c>
      <c r="K49" s="101" t="s">
        <v>52</v>
      </c>
      <c r="L49" s="102" t="s">
        <v>52</v>
      </c>
      <c r="M49" s="102" t="s">
        <v>52</v>
      </c>
      <c r="N49" s="169" t="s">
        <v>52</v>
      </c>
      <c r="O49" s="55" t="s">
        <v>52</v>
      </c>
      <c r="P49" s="170" t="s">
        <v>52</v>
      </c>
      <c r="Q49" s="117" t="s">
        <v>146</v>
      </c>
    </row>
    <row r="50" spans="2:17" ht="15.6" outlineLevel="1">
      <c r="B50" s="50">
        <v>0</v>
      </c>
      <c r="C50" s="50">
        <v>0</v>
      </c>
      <c r="D50" s="57" t="s">
        <v>52</v>
      </c>
      <c r="E50" s="53" t="s">
        <v>159</v>
      </c>
      <c r="F50" s="53" t="s">
        <v>160</v>
      </c>
      <c r="G50" s="162" t="s">
        <v>59</v>
      </c>
      <c r="H50" s="55" t="s">
        <v>52</v>
      </c>
      <c r="I50" s="100"/>
      <c r="J50" s="100" t="s">
        <v>52</v>
      </c>
      <c r="K50" s="101" t="s">
        <v>52</v>
      </c>
      <c r="L50" s="102" t="s">
        <v>52</v>
      </c>
      <c r="M50" s="102" t="s">
        <v>52</v>
      </c>
      <c r="N50" s="169" t="s">
        <v>52</v>
      </c>
      <c r="O50" s="55" t="s">
        <v>52</v>
      </c>
      <c r="P50" s="170" t="s">
        <v>52</v>
      </c>
      <c r="Q50" s="117" t="s">
        <v>146</v>
      </c>
    </row>
    <row r="51" spans="2:17" ht="15.6" outlineLevel="1">
      <c r="B51" s="50">
        <v>22</v>
      </c>
      <c r="C51" s="50">
        <v>0</v>
      </c>
      <c r="D51" s="51">
        <f>C51/B51</f>
        <v>0</v>
      </c>
      <c r="E51" s="53" t="s">
        <v>161</v>
      </c>
      <c r="F51" s="53" t="s">
        <v>162</v>
      </c>
      <c r="G51" s="162" t="s">
        <v>59</v>
      </c>
      <c r="H51" s="55" t="s">
        <v>52</v>
      </c>
      <c r="I51" s="69"/>
      <c r="J51" s="100" t="s">
        <v>52</v>
      </c>
      <c r="K51" s="101" t="s">
        <v>52</v>
      </c>
      <c r="L51" s="102" t="s">
        <v>52</v>
      </c>
      <c r="M51" s="101" t="s">
        <v>52</v>
      </c>
      <c r="N51" s="169" t="s">
        <v>52</v>
      </c>
      <c r="O51" s="55" t="s">
        <v>52</v>
      </c>
      <c r="P51" s="170" t="s">
        <v>52</v>
      </c>
      <c r="Q51" s="117" t="s">
        <v>69</v>
      </c>
    </row>
    <row r="52" spans="2:17" ht="16.899999999999999">
      <c r="B52" s="108">
        <f>SUM(B40:B51)</f>
        <v>1522</v>
      </c>
      <c r="C52" s="108">
        <f>SUM(C40:C51)</f>
        <v>13.244</v>
      </c>
      <c r="D52" s="109">
        <f>C52/B52</f>
        <v>8.7017082785808154E-3</v>
      </c>
      <c r="E52" s="61">
        <v>31</v>
      </c>
      <c r="F52" s="61" t="s">
        <v>163</v>
      </c>
      <c r="G52" s="62">
        <v>1680</v>
      </c>
      <c r="H52" s="63">
        <f>G52/G89</f>
        <v>5.5551881489319492E-2</v>
      </c>
      <c r="I52" s="81">
        <f>SUM(I40:I51)</f>
        <v>469.51</v>
      </c>
      <c r="J52" s="81">
        <f t="shared" si="0"/>
        <v>1210.49</v>
      </c>
      <c r="K52" s="149">
        <f t="shared" si="1"/>
        <v>0.27947023809523808</v>
      </c>
      <c r="L52" s="81">
        <f>SUM(L40:L51)</f>
        <v>704.26499999999999</v>
      </c>
      <c r="M52" s="160">
        <f>L52/G52</f>
        <v>0.41920535714285712</v>
      </c>
      <c r="N52" s="173">
        <f>SUM(N40:N51)</f>
        <v>1680</v>
      </c>
      <c r="O52" s="68">
        <f>N52/N89</f>
        <v>4.1946099262447752E-2</v>
      </c>
      <c r="P52" s="172">
        <f>(N52-G52)/G52</f>
        <v>0</v>
      </c>
      <c r="Q52" s="119">
        <f>N52-G52</f>
        <v>0</v>
      </c>
    </row>
    <row r="53" spans="2:17" ht="46.9" outlineLevel="1">
      <c r="B53" s="50">
        <v>1032</v>
      </c>
      <c r="C53" s="50">
        <v>559.77099999999996</v>
      </c>
      <c r="D53" s="51">
        <f>C53/B53</f>
        <v>0.54241375968992245</v>
      </c>
      <c r="E53" s="53" t="s">
        <v>164</v>
      </c>
      <c r="F53" s="53" t="s">
        <v>165</v>
      </c>
      <c r="G53" s="54">
        <v>352</v>
      </c>
      <c r="H53" s="55" t="s">
        <v>52</v>
      </c>
      <c r="I53" s="56">
        <v>66.33</v>
      </c>
      <c r="J53" s="151">
        <f t="shared" si="0"/>
        <v>285.67</v>
      </c>
      <c r="K53" s="152">
        <f t="shared" si="1"/>
        <v>0.18843750000000001</v>
      </c>
      <c r="L53" s="69">
        <f>I53/8*12</f>
        <v>99.495000000000005</v>
      </c>
      <c r="M53" s="98">
        <f>L53/G53</f>
        <v>0.28265625</v>
      </c>
      <c r="N53" s="175">
        <v>352</v>
      </c>
      <c r="O53" s="55" t="s">
        <v>52</v>
      </c>
      <c r="P53" s="168">
        <f>(N53-G53)/G53</f>
        <v>0</v>
      </c>
      <c r="Q53" s="116" t="s">
        <v>166</v>
      </c>
    </row>
    <row r="54" spans="2:17" ht="15.6" outlineLevel="1">
      <c r="B54" s="50">
        <v>0</v>
      </c>
      <c r="C54" s="50">
        <v>0</v>
      </c>
      <c r="D54" s="57" t="s">
        <v>52</v>
      </c>
      <c r="E54" s="53" t="s">
        <v>167</v>
      </c>
      <c r="F54" s="53" t="s">
        <v>168</v>
      </c>
      <c r="G54" s="162" t="s">
        <v>59</v>
      </c>
      <c r="H54" s="55" t="s">
        <v>52</v>
      </c>
      <c r="I54" s="159"/>
      <c r="J54" s="100" t="s">
        <v>52</v>
      </c>
      <c r="K54" s="101" t="s">
        <v>52</v>
      </c>
      <c r="L54" s="102" t="s">
        <v>52</v>
      </c>
      <c r="M54" s="102" t="s">
        <v>52</v>
      </c>
      <c r="N54" s="169" t="s">
        <v>52</v>
      </c>
      <c r="O54" s="55" t="s">
        <v>52</v>
      </c>
      <c r="P54" s="170" t="s">
        <v>52</v>
      </c>
      <c r="Q54" s="117" t="s">
        <v>169</v>
      </c>
    </row>
    <row r="55" spans="2:17" ht="15.6" outlineLevel="1">
      <c r="B55" s="50">
        <v>440</v>
      </c>
      <c r="C55" s="50">
        <v>0</v>
      </c>
      <c r="D55" s="51">
        <f>C55/B55</f>
        <v>0</v>
      </c>
      <c r="E55" s="53" t="s">
        <v>170</v>
      </c>
      <c r="F55" s="53" t="s">
        <v>171</v>
      </c>
      <c r="G55" s="54">
        <v>126</v>
      </c>
      <c r="H55" s="55" t="s">
        <v>52</v>
      </c>
      <c r="I55" s="56">
        <v>0</v>
      </c>
      <c r="J55" s="151">
        <f t="shared" si="0"/>
        <v>126</v>
      </c>
      <c r="K55" s="152">
        <f t="shared" si="1"/>
        <v>0</v>
      </c>
      <c r="L55" s="69">
        <f>I55/8*12</f>
        <v>0</v>
      </c>
      <c r="M55" s="98">
        <f>L55/G55</f>
        <v>0</v>
      </c>
      <c r="N55" s="175">
        <v>126</v>
      </c>
      <c r="O55" s="55" t="s">
        <v>52</v>
      </c>
      <c r="P55" s="168">
        <f>(N55-G55)/G55</f>
        <v>0</v>
      </c>
      <c r="Q55" s="240" t="s">
        <v>172</v>
      </c>
    </row>
    <row r="56" spans="2:17" ht="15.6" outlineLevel="1">
      <c r="B56" s="50">
        <v>0</v>
      </c>
      <c r="C56" s="50">
        <v>178.5</v>
      </c>
      <c r="D56" s="57" t="s">
        <v>52</v>
      </c>
      <c r="E56" s="53" t="s">
        <v>173</v>
      </c>
      <c r="F56" s="53" t="s">
        <v>174</v>
      </c>
      <c r="G56" s="54">
        <v>4030</v>
      </c>
      <c r="H56" s="55" t="s">
        <v>52</v>
      </c>
      <c r="I56" s="56">
        <v>1270</v>
      </c>
      <c r="J56" s="151">
        <f t="shared" si="0"/>
        <v>2760</v>
      </c>
      <c r="K56" s="152">
        <f t="shared" si="1"/>
        <v>0.31513647642679898</v>
      </c>
      <c r="L56" s="69">
        <f>【參考用】【各組】2025年預算編列!G20</f>
        <v>3580</v>
      </c>
      <c r="M56" s="98">
        <f>L56/G56</f>
        <v>0.88833746898263022</v>
      </c>
      <c r="N56" s="260">
        <f>【各組】2026年預算編列!E29</f>
        <v>2900</v>
      </c>
      <c r="O56" s="55" t="s">
        <v>52</v>
      </c>
      <c r="P56" s="168">
        <f>(N56-G56)/G56</f>
        <v>-0.28039702233250619</v>
      </c>
      <c r="Q56" s="164" t="s">
        <v>92</v>
      </c>
    </row>
    <row r="57" spans="2:17" ht="15.6" outlineLevel="1">
      <c r="B57" s="50">
        <v>1000</v>
      </c>
      <c r="C57" s="50">
        <v>0</v>
      </c>
      <c r="D57" s="51">
        <f>C57/B57</f>
        <v>0</v>
      </c>
      <c r="E57" s="53" t="s">
        <v>175</v>
      </c>
      <c r="F57" s="53" t="s">
        <v>176</v>
      </c>
      <c r="G57" s="54" t="s">
        <v>59</v>
      </c>
      <c r="H57" s="55" t="s">
        <v>52</v>
      </c>
      <c r="I57" s="159"/>
      <c r="J57" s="101" t="s">
        <v>52</v>
      </c>
      <c r="K57" s="101" t="s">
        <v>52</v>
      </c>
      <c r="L57" s="102" t="s">
        <v>52</v>
      </c>
      <c r="M57" s="101" t="s">
        <v>52</v>
      </c>
      <c r="N57" s="169" t="s">
        <v>52</v>
      </c>
      <c r="O57" s="55" t="s">
        <v>52</v>
      </c>
      <c r="P57" s="170" t="s">
        <v>52</v>
      </c>
      <c r="Q57" s="117" t="s">
        <v>69</v>
      </c>
    </row>
    <row r="58" spans="2:17" ht="15.6" outlineLevel="1">
      <c r="B58" s="50">
        <v>0</v>
      </c>
      <c r="C58" s="50">
        <v>0</v>
      </c>
      <c r="D58" s="57" t="s">
        <v>52</v>
      </c>
      <c r="E58" s="53" t="s">
        <v>177</v>
      </c>
      <c r="F58" s="53" t="s">
        <v>178</v>
      </c>
      <c r="G58" s="162" t="s">
        <v>59</v>
      </c>
      <c r="H58" s="55" t="s">
        <v>52</v>
      </c>
      <c r="I58" s="159"/>
      <c r="J58" s="100" t="s">
        <v>52</v>
      </c>
      <c r="K58" s="101" t="s">
        <v>52</v>
      </c>
      <c r="L58" s="102" t="s">
        <v>52</v>
      </c>
      <c r="M58" s="102" t="s">
        <v>52</v>
      </c>
      <c r="N58" s="169" t="s">
        <v>52</v>
      </c>
      <c r="O58" s="55" t="s">
        <v>52</v>
      </c>
      <c r="P58" s="170" t="s">
        <v>52</v>
      </c>
      <c r="Q58" s="117" t="s">
        <v>69</v>
      </c>
    </row>
    <row r="59" spans="2:17" ht="15.6" outlineLevel="1">
      <c r="B59" s="50">
        <v>0</v>
      </c>
      <c r="C59" s="50">
        <v>0</v>
      </c>
      <c r="D59" s="57" t="s">
        <v>52</v>
      </c>
      <c r="E59" s="53" t="s">
        <v>179</v>
      </c>
      <c r="F59" s="53" t="s">
        <v>180</v>
      </c>
      <c r="G59" s="162" t="s">
        <v>59</v>
      </c>
      <c r="H59" s="55" t="s">
        <v>52</v>
      </c>
      <c r="I59" s="159"/>
      <c r="J59" s="100" t="s">
        <v>52</v>
      </c>
      <c r="K59" s="101" t="s">
        <v>52</v>
      </c>
      <c r="L59" s="102" t="s">
        <v>52</v>
      </c>
      <c r="M59" s="102" t="s">
        <v>52</v>
      </c>
      <c r="N59" s="169" t="s">
        <v>52</v>
      </c>
      <c r="O59" s="55" t="s">
        <v>52</v>
      </c>
      <c r="P59" s="170" t="s">
        <v>52</v>
      </c>
      <c r="Q59" s="117" t="s">
        <v>69</v>
      </c>
    </row>
    <row r="60" spans="2:17" ht="15.6" outlineLevel="1">
      <c r="B60" s="50">
        <v>0</v>
      </c>
      <c r="C60" s="50">
        <v>0</v>
      </c>
      <c r="D60" s="57" t="s">
        <v>52</v>
      </c>
      <c r="E60" s="53" t="s">
        <v>181</v>
      </c>
      <c r="F60" s="53" t="s">
        <v>182</v>
      </c>
      <c r="G60" s="162" t="s">
        <v>59</v>
      </c>
      <c r="H60" s="55" t="s">
        <v>52</v>
      </c>
      <c r="I60" s="159"/>
      <c r="J60" s="100" t="s">
        <v>52</v>
      </c>
      <c r="K60" s="101" t="s">
        <v>52</v>
      </c>
      <c r="L60" s="102" t="s">
        <v>52</v>
      </c>
      <c r="M60" s="102" t="s">
        <v>52</v>
      </c>
      <c r="N60" s="169" t="s">
        <v>52</v>
      </c>
      <c r="O60" s="55" t="s">
        <v>52</v>
      </c>
      <c r="P60" s="170" t="s">
        <v>52</v>
      </c>
      <c r="Q60" s="117" t="s">
        <v>69</v>
      </c>
    </row>
    <row r="61" spans="2:17" ht="16.899999999999999">
      <c r="B61" s="108">
        <f>SUM(B53:B60)</f>
        <v>2472</v>
      </c>
      <c r="C61" s="108">
        <f>SUM(C53:C60)</f>
        <v>738.27099999999996</v>
      </c>
      <c r="D61" s="109">
        <f>C61/B61</f>
        <v>0.29865331715210353</v>
      </c>
      <c r="E61" s="61">
        <v>41</v>
      </c>
      <c r="F61" s="226" t="s">
        <v>183</v>
      </c>
      <c r="G61" s="62">
        <v>4508</v>
      </c>
      <c r="H61" s="63">
        <f>G61/G89</f>
        <v>0.14906421532967395</v>
      </c>
      <c r="I61" s="81">
        <f>SUM(I53:I60)</f>
        <v>1336.33</v>
      </c>
      <c r="J61" s="81">
        <f t="shared" si="0"/>
        <v>3171.67</v>
      </c>
      <c r="K61" s="149">
        <f t="shared" si="1"/>
        <v>0.29643522626441882</v>
      </c>
      <c r="L61" s="81">
        <f>SUM(L53:L60)</f>
        <v>3679.4949999999999</v>
      </c>
      <c r="M61" s="160">
        <f>L61/G61</f>
        <v>0.81621450754214731</v>
      </c>
      <c r="N61" s="259">
        <f>SUM(N53:N60)</f>
        <v>3378</v>
      </c>
      <c r="O61" s="68">
        <f>N61/N89</f>
        <v>8.4341621016993162E-2</v>
      </c>
      <c r="P61" s="172">
        <f>(N61-G61)/G61</f>
        <v>-0.25066548358473822</v>
      </c>
      <c r="Q61" s="119">
        <f>N61-G61</f>
        <v>-1130</v>
      </c>
    </row>
    <row r="62" spans="2:17" ht="15.6" outlineLevel="1">
      <c r="B62" s="50">
        <v>0</v>
      </c>
      <c r="C62" s="50">
        <v>0</v>
      </c>
      <c r="D62" s="57" t="s">
        <v>52</v>
      </c>
      <c r="E62" s="53" t="s">
        <v>184</v>
      </c>
      <c r="F62" s="53" t="s">
        <v>185</v>
      </c>
      <c r="G62" s="162" t="s">
        <v>59</v>
      </c>
      <c r="H62" s="55" t="s">
        <v>52</v>
      </c>
      <c r="I62" s="100"/>
      <c r="J62" s="100" t="s">
        <v>52</v>
      </c>
      <c r="K62" s="101" t="s">
        <v>52</v>
      </c>
      <c r="L62" s="102" t="s">
        <v>52</v>
      </c>
      <c r="M62" s="102" t="s">
        <v>52</v>
      </c>
      <c r="N62" s="169" t="s">
        <v>52</v>
      </c>
      <c r="O62" s="55" t="s">
        <v>52</v>
      </c>
      <c r="P62" s="170" t="s">
        <v>52</v>
      </c>
      <c r="Q62" s="117" t="s">
        <v>69</v>
      </c>
    </row>
    <row r="63" spans="2:17" ht="15.6" outlineLevel="1">
      <c r="B63" s="50">
        <v>0</v>
      </c>
      <c r="C63" s="50">
        <v>0</v>
      </c>
      <c r="D63" s="57" t="s">
        <v>52</v>
      </c>
      <c r="E63" s="53" t="s">
        <v>186</v>
      </c>
      <c r="F63" s="53" t="s">
        <v>187</v>
      </c>
      <c r="G63" s="162" t="s">
        <v>59</v>
      </c>
      <c r="H63" s="55" t="s">
        <v>52</v>
      </c>
      <c r="I63" s="100"/>
      <c r="J63" s="100" t="s">
        <v>52</v>
      </c>
      <c r="K63" s="101" t="s">
        <v>52</v>
      </c>
      <c r="L63" s="102" t="s">
        <v>52</v>
      </c>
      <c r="M63" s="102" t="s">
        <v>52</v>
      </c>
      <c r="N63" s="169" t="s">
        <v>52</v>
      </c>
      <c r="O63" s="55" t="s">
        <v>52</v>
      </c>
      <c r="P63" s="170" t="s">
        <v>52</v>
      </c>
      <c r="Q63" s="117" t="s">
        <v>69</v>
      </c>
    </row>
    <row r="64" spans="2:17" ht="15.6" outlineLevel="1">
      <c r="B64" s="50">
        <v>3000</v>
      </c>
      <c r="C64" s="50">
        <v>1480.596</v>
      </c>
      <c r="D64" s="51">
        <f>C64/B64</f>
        <v>0.49353200000000003</v>
      </c>
      <c r="E64" s="53" t="s">
        <v>188</v>
      </c>
      <c r="F64" s="53" t="s">
        <v>189</v>
      </c>
      <c r="G64" s="54">
        <v>3000</v>
      </c>
      <c r="H64" s="55" t="s">
        <v>52</v>
      </c>
      <c r="I64" s="69">
        <v>346.86099999999999</v>
      </c>
      <c r="J64" s="151">
        <f t="shared" si="0"/>
        <v>2653.1390000000001</v>
      </c>
      <c r="K64" s="152">
        <f t="shared" si="1"/>
        <v>0.11562033333333332</v>
      </c>
      <c r="L64" s="69">
        <f>【參考用】【各組】2025年預算編列!G24</f>
        <v>25</v>
      </c>
      <c r="M64" s="98">
        <f>L64/G64</f>
        <v>8.3333333333333332E-3</v>
      </c>
      <c r="N64" s="260">
        <f>【各組】2026年預算編列!E34</f>
        <v>4000</v>
      </c>
      <c r="O64" s="55" t="s">
        <v>52</v>
      </c>
      <c r="P64" s="170">
        <f>(N64-G64)/G64</f>
        <v>0.33333333333333331</v>
      </c>
      <c r="Q64" s="164" t="s">
        <v>92</v>
      </c>
    </row>
    <row r="65" spans="2:17" ht="31.15" outlineLevel="1">
      <c r="B65" s="50">
        <v>0</v>
      </c>
      <c r="C65" s="50">
        <v>0</v>
      </c>
      <c r="D65" s="57" t="s">
        <v>52</v>
      </c>
      <c r="E65" s="53" t="s">
        <v>190</v>
      </c>
      <c r="F65" s="53" t="s">
        <v>191</v>
      </c>
      <c r="G65" s="54">
        <v>2000</v>
      </c>
      <c r="H65" s="55" t="s">
        <v>52</v>
      </c>
      <c r="I65" s="69">
        <v>631.03700000000003</v>
      </c>
      <c r="J65" s="151">
        <f t="shared" si="0"/>
        <v>1368.963</v>
      </c>
      <c r="K65" s="152">
        <f t="shared" si="1"/>
        <v>0.31551850000000004</v>
      </c>
      <c r="L65" s="69">
        <f>I65/8*12</f>
        <v>946.55550000000005</v>
      </c>
      <c r="M65" s="98">
        <f>L65/G65</f>
        <v>0.47327775000000005</v>
      </c>
      <c r="N65" s="175">
        <v>2000</v>
      </c>
      <c r="O65" s="55" t="s">
        <v>52</v>
      </c>
      <c r="P65" s="170">
        <f>(N65-G65)/G65</f>
        <v>0</v>
      </c>
      <c r="Q65" s="118" t="s">
        <v>192</v>
      </c>
    </row>
    <row r="66" spans="2:17" ht="15.6" outlineLevel="1">
      <c r="B66" s="50">
        <v>300</v>
      </c>
      <c r="C66" s="50">
        <v>54.7</v>
      </c>
      <c r="D66" s="51">
        <f>C66/B66</f>
        <v>0.18233333333333335</v>
      </c>
      <c r="E66" s="53" t="s">
        <v>193</v>
      </c>
      <c r="F66" s="53" t="s">
        <v>194</v>
      </c>
      <c r="G66" s="54">
        <v>3320</v>
      </c>
      <c r="H66" s="55" t="s">
        <v>52</v>
      </c>
      <c r="I66" s="69">
        <v>771.53499999999997</v>
      </c>
      <c r="J66" s="151">
        <f t="shared" si="0"/>
        <v>2548.4650000000001</v>
      </c>
      <c r="K66" s="152">
        <f t="shared" si="1"/>
        <v>0.23239006024096384</v>
      </c>
      <c r="L66" s="69">
        <f>【參考用】【各組】2025年預算編列!G35</f>
        <v>2022</v>
      </c>
      <c r="M66" s="98">
        <f>L66/G66</f>
        <v>0.60903614457831323</v>
      </c>
      <c r="N66" s="260">
        <f>【各組】2026年預算編列!E46</f>
        <v>4084</v>
      </c>
      <c r="O66" s="55" t="s">
        <v>52</v>
      </c>
      <c r="P66" s="170">
        <f>(N66-G66)/G66</f>
        <v>0.23012048192771084</v>
      </c>
      <c r="Q66" s="164" t="s">
        <v>92</v>
      </c>
    </row>
    <row r="67" spans="2:17" ht="16.899999999999999">
      <c r="B67" s="108">
        <f>SUM(B62:B66)</f>
        <v>3300</v>
      </c>
      <c r="C67" s="108">
        <f>SUM(C62:C66)</f>
        <v>1535.296</v>
      </c>
      <c r="D67" s="109">
        <f>C67/B67</f>
        <v>0.46524121212121211</v>
      </c>
      <c r="E67" s="61">
        <v>51</v>
      </c>
      <c r="F67" s="226" t="s">
        <v>195</v>
      </c>
      <c r="G67" s="62">
        <v>8320</v>
      </c>
      <c r="H67" s="63">
        <f>G67/G89</f>
        <v>0.27511407975662983</v>
      </c>
      <c r="I67" s="81">
        <f>SUM(I62:I66)</f>
        <v>1749.433</v>
      </c>
      <c r="J67" s="81">
        <f t="shared" si="0"/>
        <v>6570.567</v>
      </c>
      <c r="K67" s="149">
        <f t="shared" si="1"/>
        <v>0.21026838942307693</v>
      </c>
      <c r="L67" s="81">
        <f>SUM(L62:L66)</f>
        <v>2993.5554999999999</v>
      </c>
      <c r="M67" s="160">
        <f>L67/G67</f>
        <v>0.35980234374999998</v>
      </c>
      <c r="N67" s="259">
        <f>SUM(N62:N66)</f>
        <v>10084</v>
      </c>
      <c r="O67" s="68">
        <f>N67/N89</f>
        <v>0.25177646723959712</v>
      </c>
      <c r="P67" s="172">
        <f>(N67-G67)/G67</f>
        <v>0.21201923076923077</v>
      </c>
      <c r="Q67" s="119">
        <f>N67-G67</f>
        <v>1764</v>
      </c>
    </row>
    <row r="68" spans="2:17" ht="15.6" outlineLevel="1">
      <c r="B68" s="50">
        <v>3313</v>
      </c>
      <c r="C68" s="50">
        <v>1038.2840000000001</v>
      </c>
      <c r="D68" s="51">
        <f>C68/B68</f>
        <v>0.31339692121943863</v>
      </c>
      <c r="E68" s="52" t="s">
        <v>196</v>
      </c>
      <c r="F68" s="53" t="s">
        <v>197</v>
      </c>
      <c r="G68" s="54">
        <v>2062</v>
      </c>
      <c r="H68" s="55" t="s">
        <v>52</v>
      </c>
      <c r="I68" s="69">
        <v>1010.34</v>
      </c>
      <c r="J68" s="151">
        <f t="shared" si="0"/>
        <v>1051.6599999999999</v>
      </c>
      <c r="K68" s="152">
        <f t="shared" si="1"/>
        <v>0.48998060135790494</v>
      </c>
      <c r="L68" s="69">
        <f>I68/8*12</f>
        <v>1515.51</v>
      </c>
      <c r="M68" s="98">
        <f>L68/G68</f>
        <v>0.73497090203685744</v>
      </c>
      <c r="N68" s="167">
        <v>2641</v>
      </c>
      <c r="O68" s="55" t="s">
        <v>52</v>
      </c>
      <c r="P68" s="168">
        <f>(N68-G68)/G68</f>
        <v>0.2807953443258972</v>
      </c>
      <c r="Q68" s="203" t="s">
        <v>198</v>
      </c>
    </row>
    <row r="69" spans="2:17" ht="15.6" outlineLevel="1">
      <c r="B69" s="50">
        <v>0</v>
      </c>
      <c r="C69" s="50">
        <v>0</v>
      </c>
      <c r="D69" s="57" t="s">
        <v>52</v>
      </c>
      <c r="E69" s="52" t="s">
        <v>199</v>
      </c>
      <c r="F69" s="53" t="s">
        <v>200</v>
      </c>
      <c r="G69" s="162" t="s">
        <v>59</v>
      </c>
      <c r="H69" s="55" t="s">
        <v>52</v>
      </c>
      <c r="I69" s="100"/>
      <c r="J69" s="100" t="s">
        <v>52</v>
      </c>
      <c r="K69" s="101" t="s">
        <v>52</v>
      </c>
      <c r="L69" s="102" t="s">
        <v>52</v>
      </c>
      <c r="M69" s="102" t="s">
        <v>52</v>
      </c>
      <c r="N69" s="169" t="s">
        <v>52</v>
      </c>
      <c r="O69" s="55" t="s">
        <v>52</v>
      </c>
      <c r="P69" s="170" t="s">
        <v>52</v>
      </c>
      <c r="Q69" s="120" t="s">
        <v>69</v>
      </c>
    </row>
    <row r="70" spans="2:17" ht="15.6" outlineLevel="1">
      <c r="B70" s="50">
        <v>0</v>
      </c>
      <c r="C70" s="50">
        <v>0</v>
      </c>
      <c r="D70" s="57" t="s">
        <v>52</v>
      </c>
      <c r="E70" s="52" t="s">
        <v>201</v>
      </c>
      <c r="F70" s="53" t="s">
        <v>202</v>
      </c>
      <c r="G70" s="162" t="s">
        <v>59</v>
      </c>
      <c r="H70" s="55" t="s">
        <v>52</v>
      </c>
      <c r="I70" s="100"/>
      <c r="J70" s="100" t="s">
        <v>52</v>
      </c>
      <c r="K70" s="101" t="s">
        <v>52</v>
      </c>
      <c r="L70" s="102" t="s">
        <v>52</v>
      </c>
      <c r="M70" s="102" t="s">
        <v>52</v>
      </c>
      <c r="N70" s="169" t="s">
        <v>52</v>
      </c>
      <c r="O70" s="55" t="s">
        <v>52</v>
      </c>
      <c r="P70" s="170" t="s">
        <v>52</v>
      </c>
      <c r="Q70" s="120" t="s">
        <v>69</v>
      </c>
    </row>
    <row r="71" spans="2:17" ht="15.6" outlineLevel="1">
      <c r="B71" s="50">
        <v>5</v>
      </c>
      <c r="C71" s="50">
        <v>12.352</v>
      </c>
      <c r="D71" s="51">
        <f>C71/B71</f>
        <v>2.4704000000000002</v>
      </c>
      <c r="E71" s="52" t="s">
        <v>203</v>
      </c>
      <c r="F71" s="53" t="s">
        <v>204</v>
      </c>
      <c r="G71" s="54">
        <v>368</v>
      </c>
      <c r="H71" s="55" t="s">
        <v>52</v>
      </c>
      <c r="I71" s="69">
        <v>206.804</v>
      </c>
      <c r="J71" s="151">
        <f t="shared" ref="J71:J88" si="8">G71-I71</f>
        <v>161.196</v>
      </c>
      <c r="K71" s="152">
        <f t="shared" ref="K71:K88" si="9">I71/G71</f>
        <v>0.56196739130434781</v>
      </c>
      <c r="L71" s="69">
        <f>I71/8*12</f>
        <v>310.20600000000002</v>
      </c>
      <c r="M71" s="98">
        <f>L71/G71</f>
        <v>0.84295108695652177</v>
      </c>
      <c r="N71" s="167">
        <v>836</v>
      </c>
      <c r="O71" s="55" t="s">
        <v>52</v>
      </c>
      <c r="P71" s="168">
        <f>(N71-G71)/G71</f>
        <v>1.2717391304347827</v>
      </c>
      <c r="Q71" s="203" t="s">
        <v>198</v>
      </c>
    </row>
    <row r="72" spans="2:17" ht="15.6" outlineLevel="1">
      <c r="B72" s="50">
        <v>0</v>
      </c>
      <c r="C72" s="50">
        <v>0</v>
      </c>
      <c r="D72" s="57" t="s">
        <v>52</v>
      </c>
      <c r="E72" s="52" t="s">
        <v>205</v>
      </c>
      <c r="F72" s="53" t="s">
        <v>206</v>
      </c>
      <c r="G72" s="54">
        <v>932</v>
      </c>
      <c r="H72" s="55" t="s">
        <v>52</v>
      </c>
      <c r="I72" s="69">
        <v>381.66300000000001</v>
      </c>
      <c r="J72" s="151">
        <f t="shared" si="8"/>
        <v>550.33699999999999</v>
      </c>
      <c r="K72" s="152">
        <f t="shared" si="9"/>
        <v>0.40950965665236055</v>
      </c>
      <c r="L72" s="69">
        <f>I72/8*12</f>
        <v>572.49450000000002</v>
      </c>
      <c r="M72" s="98">
        <f>L72/G72</f>
        <v>0.6142644849785408</v>
      </c>
      <c r="N72" s="167">
        <v>737</v>
      </c>
      <c r="O72" s="55" t="s">
        <v>52</v>
      </c>
      <c r="P72" s="168">
        <f>(N72-G72)/G72</f>
        <v>-0.20922746781115881</v>
      </c>
      <c r="Q72" s="203" t="s">
        <v>198</v>
      </c>
    </row>
    <row r="73" spans="2:17" ht="15.6" outlineLevel="1">
      <c r="B73" s="50">
        <v>0</v>
      </c>
      <c r="C73" s="50">
        <v>0</v>
      </c>
      <c r="D73" s="57" t="s">
        <v>52</v>
      </c>
      <c r="E73" s="52" t="s">
        <v>207</v>
      </c>
      <c r="F73" s="53" t="s">
        <v>208</v>
      </c>
      <c r="G73" s="162" t="s">
        <v>59</v>
      </c>
      <c r="H73" s="55" t="s">
        <v>52</v>
      </c>
      <c r="I73" s="100"/>
      <c r="J73" s="100" t="s">
        <v>52</v>
      </c>
      <c r="K73" s="101" t="s">
        <v>52</v>
      </c>
      <c r="L73" s="102" t="s">
        <v>52</v>
      </c>
      <c r="M73" s="102" t="s">
        <v>52</v>
      </c>
      <c r="N73" s="169" t="s">
        <v>52</v>
      </c>
      <c r="O73" s="55" t="s">
        <v>52</v>
      </c>
      <c r="P73" s="170" t="s">
        <v>52</v>
      </c>
      <c r="Q73" s="120" t="s">
        <v>69</v>
      </c>
    </row>
    <row r="74" spans="2:17" ht="15.6" outlineLevel="1">
      <c r="B74" s="50">
        <v>2154</v>
      </c>
      <c r="C74" s="50">
        <v>47.765999999999998</v>
      </c>
      <c r="D74" s="51">
        <f>C74/B74</f>
        <v>2.2175487465181058E-2</v>
      </c>
      <c r="E74" s="52" t="s">
        <v>209</v>
      </c>
      <c r="F74" s="53" t="s">
        <v>210</v>
      </c>
      <c r="G74" s="54">
        <v>2569</v>
      </c>
      <c r="H74" s="55" t="s">
        <v>52</v>
      </c>
      <c r="I74" s="69">
        <v>2042.98</v>
      </c>
      <c r="J74" s="151">
        <f t="shared" si="8"/>
        <v>526.02</v>
      </c>
      <c r="K74" s="152">
        <f t="shared" si="9"/>
        <v>0.79524328532502919</v>
      </c>
      <c r="L74" s="69">
        <f>I74/8*12</f>
        <v>3064.4700000000003</v>
      </c>
      <c r="M74" s="98">
        <f>L74/G74</f>
        <v>1.1928649279875438</v>
      </c>
      <c r="N74" s="167">
        <v>3508</v>
      </c>
      <c r="O74" s="55" t="s">
        <v>52</v>
      </c>
      <c r="P74" s="168">
        <f>(N74-G74)/G74</f>
        <v>0.3655118723238614</v>
      </c>
      <c r="Q74" s="203" t="s">
        <v>198</v>
      </c>
    </row>
    <row r="75" spans="2:17" ht="16.899999999999999">
      <c r="B75" s="108">
        <f>SUM(B68:B74)</f>
        <v>5472</v>
      </c>
      <c r="C75" s="108">
        <f>SUM(C68:C74)</f>
        <v>1098.4020000000003</v>
      </c>
      <c r="D75" s="109">
        <f>C75/B75</f>
        <v>0.20073135964912286</v>
      </c>
      <c r="E75" s="61">
        <v>62</v>
      </c>
      <c r="F75" s="61" t="s">
        <v>211</v>
      </c>
      <c r="G75" s="62">
        <v>5931</v>
      </c>
      <c r="H75" s="63">
        <f>G75/G89</f>
        <v>0.19611798161497254</v>
      </c>
      <c r="I75" s="81">
        <f>SUM(I68:I74)</f>
        <v>3641.7870000000003</v>
      </c>
      <c r="J75" s="81">
        <f t="shared" si="8"/>
        <v>2289.2129999999997</v>
      </c>
      <c r="K75" s="149">
        <f t="shared" si="9"/>
        <v>0.6140257966616085</v>
      </c>
      <c r="L75" s="81">
        <f>SUM(L68:L74)</f>
        <v>5462.6805000000004</v>
      </c>
      <c r="M75" s="160">
        <f>L75/G75</f>
        <v>0.92103869499241287</v>
      </c>
      <c r="N75" s="173">
        <f>SUM(N68:N74)</f>
        <v>7722</v>
      </c>
      <c r="O75" s="68">
        <f>N75/N89</f>
        <v>0.19280224910989377</v>
      </c>
      <c r="P75" s="172">
        <f>(N75-G75)/G75</f>
        <v>0.30197268588770865</v>
      </c>
      <c r="Q75" s="119">
        <f>N75-G75</f>
        <v>1791</v>
      </c>
    </row>
    <row r="76" spans="2:17" ht="15.6" outlineLevel="1">
      <c r="B76" s="50">
        <v>0</v>
      </c>
      <c r="C76" s="50">
        <v>4721.45</v>
      </c>
      <c r="D76" s="57" t="s">
        <v>52</v>
      </c>
      <c r="E76" s="52" t="s">
        <v>212</v>
      </c>
      <c r="F76" s="211" t="s">
        <v>213</v>
      </c>
      <c r="G76" s="54">
        <v>3526</v>
      </c>
      <c r="H76" s="55" t="s">
        <v>52</v>
      </c>
      <c r="I76" s="69">
        <v>5390.76</v>
      </c>
      <c r="J76" s="151">
        <f t="shared" si="8"/>
        <v>-1864.7600000000002</v>
      </c>
      <c r="K76" s="152">
        <f t="shared" si="9"/>
        <v>1.5288598979013046</v>
      </c>
      <c r="L76" s="69">
        <f>I76/8*12</f>
        <v>8086.14</v>
      </c>
      <c r="M76" s="98">
        <f>L76/G76</f>
        <v>2.2932898468519571</v>
      </c>
      <c r="N76" s="167">
        <v>8265</v>
      </c>
      <c r="O76" s="55" t="s">
        <v>52</v>
      </c>
      <c r="P76" s="168">
        <f>(N76-G76)/G76</f>
        <v>1.3440158820192853</v>
      </c>
      <c r="Q76" s="203" t="s">
        <v>198</v>
      </c>
    </row>
    <row r="77" spans="2:17" ht="15.6" outlineLevel="1">
      <c r="B77" s="50">
        <v>0</v>
      </c>
      <c r="C77" s="50">
        <v>0</v>
      </c>
      <c r="D77" s="57" t="s">
        <v>52</v>
      </c>
      <c r="E77" s="52" t="s">
        <v>214</v>
      </c>
      <c r="F77" s="53" t="s">
        <v>215</v>
      </c>
      <c r="G77" s="162" t="s">
        <v>59</v>
      </c>
      <c r="H77" s="55" t="s">
        <v>52</v>
      </c>
      <c r="I77" s="100"/>
      <c r="J77" s="100" t="s">
        <v>52</v>
      </c>
      <c r="K77" s="101" t="s">
        <v>52</v>
      </c>
      <c r="L77" s="102" t="s">
        <v>52</v>
      </c>
      <c r="M77" s="102" t="s">
        <v>52</v>
      </c>
      <c r="N77" s="169" t="s">
        <v>52</v>
      </c>
      <c r="O77" s="55" t="s">
        <v>52</v>
      </c>
      <c r="P77" s="170" t="s">
        <v>52</v>
      </c>
      <c r="Q77" s="117" t="s">
        <v>69</v>
      </c>
    </row>
    <row r="78" spans="2:17" ht="15.6" outlineLevel="1">
      <c r="B78" s="50">
        <v>0</v>
      </c>
      <c r="C78" s="50">
        <v>0</v>
      </c>
      <c r="D78" s="57" t="s">
        <v>52</v>
      </c>
      <c r="E78" s="52" t="s">
        <v>216</v>
      </c>
      <c r="F78" s="53" t="s">
        <v>217</v>
      </c>
      <c r="G78" s="54">
        <v>46</v>
      </c>
      <c r="H78" s="55" t="s">
        <v>52</v>
      </c>
      <c r="I78" s="69">
        <v>46.094999999999999</v>
      </c>
      <c r="J78" s="151">
        <f t="shared" si="8"/>
        <v>-9.4999999999998863E-2</v>
      </c>
      <c r="K78" s="152">
        <f t="shared" si="9"/>
        <v>1.0020652173913043</v>
      </c>
      <c r="L78" s="69">
        <f>I78/8*12</f>
        <v>69.142499999999998</v>
      </c>
      <c r="M78" s="98">
        <f>L78/G78</f>
        <v>1.5030978260869565</v>
      </c>
      <c r="N78" s="167">
        <v>0</v>
      </c>
      <c r="O78" s="55" t="s">
        <v>52</v>
      </c>
      <c r="P78" s="168">
        <f>(N78-G78)/G78</f>
        <v>-1</v>
      </c>
      <c r="Q78" s="203" t="s">
        <v>198</v>
      </c>
    </row>
    <row r="79" spans="2:17" ht="16.899999999999999">
      <c r="B79" s="108">
        <f>SUM(B76:B78)</f>
        <v>0</v>
      </c>
      <c r="C79" s="108">
        <f>SUM(C76:C78)</f>
        <v>4721.45</v>
      </c>
      <c r="D79" s="111" t="s">
        <v>52</v>
      </c>
      <c r="E79" s="61">
        <v>63</v>
      </c>
      <c r="F79" s="61" t="s">
        <v>218</v>
      </c>
      <c r="G79" s="62">
        <v>3572</v>
      </c>
      <c r="H79" s="63">
        <f>G79/G89</f>
        <v>0.1181138813570531</v>
      </c>
      <c r="I79" s="81">
        <f>SUM(I76:I78)</f>
        <v>5436.8550000000005</v>
      </c>
      <c r="J79" s="81">
        <f t="shared" si="8"/>
        <v>-1864.8550000000005</v>
      </c>
      <c r="K79" s="149">
        <f t="shared" si="9"/>
        <v>1.5220758678611424</v>
      </c>
      <c r="L79" s="81">
        <f>SUM(L76:L78)</f>
        <v>8155.2825000000003</v>
      </c>
      <c r="M79" s="160">
        <f>L79/G79</f>
        <v>2.2831138017917132</v>
      </c>
      <c r="N79" s="173">
        <f>SUM(N76:N78)</f>
        <v>8265</v>
      </c>
      <c r="O79" s="68">
        <f>N79/N89</f>
        <v>0.20635982762150637</v>
      </c>
      <c r="P79" s="172">
        <f>(N79-G79)/G79</f>
        <v>1.3138297872340425</v>
      </c>
      <c r="Q79" s="119">
        <f>N79-G79</f>
        <v>4693</v>
      </c>
    </row>
    <row r="80" spans="2:17" ht="46.9" outlineLevel="1">
      <c r="B80" s="108"/>
      <c r="C80" s="108"/>
      <c r="D80" s="111"/>
      <c r="E80" s="52" t="s">
        <v>219</v>
      </c>
      <c r="F80" s="53" t="s">
        <v>220</v>
      </c>
      <c r="G80" s="54">
        <v>100</v>
      </c>
      <c r="H80" s="55" t="s">
        <v>52</v>
      </c>
      <c r="I80" s="69">
        <v>15</v>
      </c>
      <c r="J80" s="151">
        <f t="shared" si="8"/>
        <v>85</v>
      </c>
      <c r="K80" s="152">
        <f t="shared" si="9"/>
        <v>0.15</v>
      </c>
      <c r="L80" s="69">
        <f>I80/8*12</f>
        <v>22.5</v>
      </c>
      <c r="M80" s="98">
        <f>L80/G80</f>
        <v>0.22500000000000001</v>
      </c>
      <c r="N80" s="176">
        <v>100</v>
      </c>
      <c r="O80" s="55" t="s">
        <v>52</v>
      </c>
      <c r="P80" s="168">
        <f>(N80-G80)/G80</f>
        <v>0</v>
      </c>
      <c r="Q80" s="118" t="s">
        <v>221</v>
      </c>
    </row>
    <row r="81" spans="2:17" ht="16.899999999999999">
      <c r="B81" s="108"/>
      <c r="C81" s="108"/>
      <c r="D81" s="111"/>
      <c r="E81" s="61">
        <v>71</v>
      </c>
      <c r="F81" s="61" t="s">
        <v>222</v>
      </c>
      <c r="G81" s="62">
        <v>100</v>
      </c>
      <c r="H81" s="70">
        <f>G81/G89</f>
        <v>3.3066596124594933E-3</v>
      </c>
      <c r="I81" s="81">
        <f>SUM(I80)</f>
        <v>15</v>
      </c>
      <c r="J81" s="81">
        <f t="shared" si="8"/>
        <v>85</v>
      </c>
      <c r="K81" s="149">
        <f t="shared" si="9"/>
        <v>0.15</v>
      </c>
      <c r="L81" s="81">
        <f>SUM(L80)</f>
        <v>22.5</v>
      </c>
      <c r="M81" s="160">
        <f>L81/G81</f>
        <v>0.22500000000000001</v>
      </c>
      <c r="N81" s="173">
        <f>SUM(N80)</f>
        <v>100</v>
      </c>
      <c r="O81" s="71">
        <f>N81/N89</f>
        <v>2.4967916227647473E-3</v>
      </c>
      <c r="P81" s="172">
        <f>(N81-G81)/G81</f>
        <v>0</v>
      </c>
      <c r="Q81" s="119">
        <f>N81-G81</f>
        <v>0</v>
      </c>
    </row>
    <row r="82" spans="2:17" ht="15.6" outlineLevel="1">
      <c r="B82" s="50">
        <v>39</v>
      </c>
      <c r="C82" s="50">
        <v>1.4119999999999999</v>
      </c>
      <c r="D82" s="51">
        <f>C82/B82</f>
        <v>3.6205128205128202E-2</v>
      </c>
      <c r="E82" s="52" t="s">
        <v>223</v>
      </c>
      <c r="F82" s="53" t="s">
        <v>224</v>
      </c>
      <c r="G82" s="54">
        <v>50</v>
      </c>
      <c r="H82" s="55" t="s">
        <v>52</v>
      </c>
      <c r="I82" s="69">
        <v>0</v>
      </c>
      <c r="J82" s="151">
        <f t="shared" si="8"/>
        <v>50</v>
      </c>
      <c r="K82" s="152">
        <f t="shared" si="9"/>
        <v>0</v>
      </c>
      <c r="L82" s="69">
        <f t="shared" ref="L82" si="10">I82/8*12</f>
        <v>0</v>
      </c>
      <c r="M82" s="98">
        <f>L82/G82</f>
        <v>0</v>
      </c>
      <c r="N82" s="176">
        <v>50</v>
      </c>
      <c r="O82" s="55" t="s">
        <v>52</v>
      </c>
      <c r="P82" s="168">
        <f>(N82-G82)/G82</f>
        <v>0</v>
      </c>
      <c r="Q82" s="116" t="s">
        <v>225</v>
      </c>
    </row>
    <row r="83" spans="2:17" ht="15.6" outlineLevel="1">
      <c r="B83" s="50">
        <v>0</v>
      </c>
      <c r="C83" s="50">
        <v>0</v>
      </c>
      <c r="D83" s="57" t="s">
        <v>52</v>
      </c>
      <c r="E83" s="52" t="s">
        <v>226</v>
      </c>
      <c r="F83" s="53" t="s">
        <v>227</v>
      </c>
      <c r="G83" s="201">
        <v>0</v>
      </c>
      <c r="H83" s="55" t="s">
        <v>52</v>
      </c>
      <c r="I83" s="100"/>
      <c r="J83" s="100" t="s">
        <v>52</v>
      </c>
      <c r="K83" s="101" t="s">
        <v>52</v>
      </c>
      <c r="L83" s="102" t="s">
        <v>52</v>
      </c>
      <c r="M83" s="102" t="s">
        <v>52</v>
      </c>
      <c r="N83" s="222">
        <v>300</v>
      </c>
      <c r="O83" s="55" t="s">
        <v>52</v>
      </c>
      <c r="P83" s="170" t="s">
        <v>52</v>
      </c>
      <c r="Q83" s="238" t="s">
        <v>228</v>
      </c>
    </row>
    <row r="84" spans="2:17" ht="15.6" outlineLevel="1">
      <c r="B84" s="50">
        <v>0</v>
      </c>
      <c r="C84" s="50">
        <v>0</v>
      </c>
      <c r="D84" s="57" t="s">
        <v>52</v>
      </c>
      <c r="E84" s="52" t="s">
        <v>229</v>
      </c>
      <c r="F84" s="53" t="s">
        <v>230</v>
      </c>
      <c r="G84" s="162" t="s">
        <v>59</v>
      </c>
      <c r="H84" s="55" t="s">
        <v>52</v>
      </c>
      <c r="I84" s="100"/>
      <c r="J84" s="100" t="s">
        <v>52</v>
      </c>
      <c r="K84" s="101" t="s">
        <v>52</v>
      </c>
      <c r="L84" s="102" t="s">
        <v>52</v>
      </c>
      <c r="M84" s="102" t="s">
        <v>52</v>
      </c>
      <c r="N84" s="169" t="s">
        <v>52</v>
      </c>
      <c r="O84" s="55" t="s">
        <v>52</v>
      </c>
      <c r="P84" s="170" t="s">
        <v>52</v>
      </c>
      <c r="Q84" s="117" t="s">
        <v>69</v>
      </c>
    </row>
    <row r="85" spans="2:17" ht="15.6" outlineLevel="1">
      <c r="B85" s="50">
        <v>60</v>
      </c>
      <c r="C85" s="50">
        <v>37.369999999999997</v>
      </c>
      <c r="D85" s="51">
        <f>C85/B85</f>
        <v>0.62283333333333324</v>
      </c>
      <c r="E85" s="52" t="s">
        <v>231</v>
      </c>
      <c r="F85" s="53" t="s">
        <v>232</v>
      </c>
      <c r="G85" s="54">
        <v>120</v>
      </c>
      <c r="H85" s="55" t="s">
        <v>52</v>
      </c>
      <c r="I85" s="69">
        <v>10.849</v>
      </c>
      <c r="J85" s="151">
        <f t="shared" si="8"/>
        <v>109.151</v>
      </c>
      <c r="K85" s="152">
        <f t="shared" si="9"/>
        <v>9.0408333333333341E-2</v>
      </c>
      <c r="L85" s="69">
        <f>I85/8*12</f>
        <v>16.273499999999999</v>
      </c>
      <c r="M85" s="98">
        <f>L85/G85</f>
        <v>0.1356125</v>
      </c>
      <c r="N85" s="176">
        <v>120</v>
      </c>
      <c r="O85" s="55" t="s">
        <v>52</v>
      </c>
      <c r="P85" s="168">
        <f>(N85-G85)/G85</f>
        <v>0</v>
      </c>
      <c r="Q85" s="116" t="s">
        <v>225</v>
      </c>
    </row>
    <row r="86" spans="2:17" ht="15.6" outlineLevel="1">
      <c r="B86" s="50">
        <v>0</v>
      </c>
      <c r="C86" s="50">
        <v>0</v>
      </c>
      <c r="D86" s="57" t="s">
        <v>52</v>
      </c>
      <c r="E86" s="52" t="s">
        <v>233</v>
      </c>
      <c r="F86" s="53" t="s">
        <v>234</v>
      </c>
      <c r="G86" s="162" t="s">
        <v>59</v>
      </c>
      <c r="H86" s="55" t="s">
        <v>52</v>
      </c>
      <c r="I86" s="100"/>
      <c r="J86" s="100" t="s">
        <v>52</v>
      </c>
      <c r="K86" s="101" t="s">
        <v>52</v>
      </c>
      <c r="L86" s="102" t="s">
        <v>52</v>
      </c>
      <c r="M86" s="102" t="s">
        <v>52</v>
      </c>
      <c r="N86" s="169" t="s">
        <v>52</v>
      </c>
      <c r="O86" s="55" t="s">
        <v>52</v>
      </c>
      <c r="P86" s="170" t="s">
        <v>52</v>
      </c>
      <c r="Q86" s="117" t="s">
        <v>69</v>
      </c>
    </row>
    <row r="87" spans="2:17" ht="31.15" outlineLevel="1">
      <c r="B87" s="50">
        <v>30</v>
      </c>
      <c r="C87" s="50">
        <v>22.815999999999999</v>
      </c>
      <c r="D87" s="51">
        <f>C87/B87</f>
        <v>0.76053333333333328</v>
      </c>
      <c r="E87" s="52" t="s">
        <v>235</v>
      </c>
      <c r="F87" s="53" t="s">
        <v>236</v>
      </c>
      <c r="G87" s="54">
        <v>50</v>
      </c>
      <c r="H87" s="55" t="s">
        <v>52</v>
      </c>
      <c r="I87" s="69">
        <v>582.452</v>
      </c>
      <c r="J87" s="151">
        <f t="shared" si="8"/>
        <v>-532.452</v>
      </c>
      <c r="K87" s="152">
        <f t="shared" si="9"/>
        <v>11.649039999999999</v>
      </c>
      <c r="L87" s="69">
        <f>I87/8*12</f>
        <v>873.678</v>
      </c>
      <c r="M87" s="98">
        <f>L87/G87</f>
        <v>17.473559999999999</v>
      </c>
      <c r="N87" s="176">
        <v>100</v>
      </c>
      <c r="O87" s="55" t="s">
        <v>52</v>
      </c>
      <c r="P87" s="168">
        <f>(N87-G87)/G87</f>
        <v>1</v>
      </c>
      <c r="Q87" s="239" t="s">
        <v>237</v>
      </c>
    </row>
    <row r="88" spans="2:17" ht="16.899999999999999">
      <c r="B88" s="108">
        <f>SUM(B82:B87)</f>
        <v>129</v>
      </c>
      <c r="C88" s="108">
        <f>SUM(C82:C87)</f>
        <v>61.597999999999999</v>
      </c>
      <c r="D88" s="109">
        <f>C88/B88</f>
        <v>0.47750387596899224</v>
      </c>
      <c r="E88" s="61">
        <v>91</v>
      </c>
      <c r="F88" s="61" t="s">
        <v>238</v>
      </c>
      <c r="G88" s="62">
        <v>220</v>
      </c>
      <c r="H88" s="70">
        <f>G88/G89</f>
        <v>7.2746511474108856E-3</v>
      </c>
      <c r="I88" s="81">
        <f>SUM(I82:I87)</f>
        <v>593.30100000000004</v>
      </c>
      <c r="J88" s="81">
        <f t="shared" si="8"/>
        <v>-373.30100000000004</v>
      </c>
      <c r="K88" s="149">
        <f t="shared" si="9"/>
        <v>2.6968227272727274</v>
      </c>
      <c r="L88" s="81">
        <f>SUM(L82:L87)</f>
        <v>889.95150000000001</v>
      </c>
      <c r="M88" s="160">
        <f>L88/G88</f>
        <v>4.0452340909090907</v>
      </c>
      <c r="N88" s="173">
        <f>SUM(N82:N87)</f>
        <v>570</v>
      </c>
      <c r="O88" s="71">
        <f>N88/N89</f>
        <v>1.4231712249759059E-2</v>
      </c>
      <c r="P88" s="172">
        <f>(N88-G88)/G88</f>
        <v>1.5909090909090908</v>
      </c>
      <c r="Q88" s="119">
        <f>N88-G88</f>
        <v>350</v>
      </c>
    </row>
    <row r="89" spans="2:17" ht="16.899999999999999">
      <c r="B89" s="112">
        <f>SUM(B14,B20,B33,B39,B52,B61,B67,B75,B79,B88)</f>
        <v>16091</v>
      </c>
      <c r="C89" s="112">
        <f>SUM(C88,C79,C75,C67,C61,C52,C39,C33,C20,C14)</f>
        <v>10107.736999999999</v>
      </c>
      <c r="D89" s="113">
        <f>C89/B89</f>
        <v>0.62816089739605985</v>
      </c>
      <c r="E89" s="271" t="s">
        <v>239</v>
      </c>
      <c r="F89" s="271"/>
      <c r="G89" s="72">
        <f>SUM(G14,G20,G33,G39,G52,G61,G67,G75,G79,G81,G88)</f>
        <v>30242</v>
      </c>
      <c r="H89" s="73">
        <f>SUM(H14,H20,H33,H39,H52,H61,H67,H75,H79,H81,H88)</f>
        <v>1</v>
      </c>
      <c r="I89" s="202">
        <v>16199.748</v>
      </c>
      <c r="J89" s="74">
        <f>SUM(J14,J20,J33,J39,J52,J61,J67,J75,J79,J81,J88)</f>
        <v>14042.252</v>
      </c>
      <c r="K89" s="148">
        <f>I89/G89</f>
        <v>0.53567052443621455</v>
      </c>
      <c r="L89" s="92">
        <f>SUM(L14,L20,L33,L39,L52,L61,L67,L75,L79,L81,L88)</f>
        <v>26975.845499999999</v>
      </c>
      <c r="M89" s="91">
        <f>L89/G89</f>
        <v>0.89199938826797165</v>
      </c>
      <c r="N89" s="177">
        <f>SUM(N14,N20,N33,N39,N52,N61,N67,N75,N79,N81,N88)</f>
        <v>40051.4</v>
      </c>
      <c r="O89" s="178">
        <f>SUM(O14,O20,O33,O39,O52,O61,O67,O75,O79,O81,O88)</f>
        <v>1</v>
      </c>
      <c r="P89" s="179">
        <f>(N89-G89)/G89</f>
        <v>0.32436346802460159</v>
      </c>
      <c r="Q89" s="121">
        <f>N89-G89</f>
        <v>9809.4000000000015</v>
      </c>
    </row>
    <row r="90" spans="2:17">
      <c r="I90" s="75"/>
    </row>
    <row r="92" spans="2:17" ht="26.45" thickBot="1">
      <c r="B92" s="76" t="s">
        <v>240</v>
      </c>
      <c r="C92" s="76"/>
      <c r="D92" s="76"/>
      <c r="E92" s="265" t="s">
        <v>241</v>
      </c>
      <c r="F92" s="265"/>
      <c r="G92" s="265" t="s">
        <v>35</v>
      </c>
      <c r="H92" s="265"/>
      <c r="I92" s="266" t="s">
        <v>36</v>
      </c>
      <c r="J92" s="266"/>
      <c r="K92" s="266"/>
      <c r="L92" s="266" t="s">
        <v>37</v>
      </c>
      <c r="M92" s="266"/>
      <c r="N92" s="267" t="s">
        <v>38</v>
      </c>
      <c r="O92" s="268"/>
      <c r="P92" s="269"/>
    </row>
    <row r="93" spans="2:17" ht="15.6">
      <c r="B93" s="107" t="s">
        <v>39</v>
      </c>
      <c r="C93" s="107"/>
      <c r="D93" s="107" t="s">
        <v>41</v>
      </c>
      <c r="E93" s="270" t="s">
        <v>242</v>
      </c>
      <c r="F93" s="270"/>
      <c r="G93" s="77" t="s">
        <v>43</v>
      </c>
      <c r="H93" s="77" t="s">
        <v>44</v>
      </c>
      <c r="I93" s="135" t="s">
        <v>45</v>
      </c>
      <c r="J93" s="93" t="s">
        <v>46</v>
      </c>
      <c r="K93" s="135" t="s">
        <v>47</v>
      </c>
      <c r="L93" s="90" t="s">
        <v>45</v>
      </c>
      <c r="M93" s="89" t="s">
        <v>47</v>
      </c>
      <c r="N93" s="180" t="s">
        <v>43</v>
      </c>
      <c r="O93" s="115" t="s">
        <v>44</v>
      </c>
      <c r="P93" s="166" t="s">
        <v>48</v>
      </c>
      <c r="Q93" s="122" t="s">
        <v>49</v>
      </c>
    </row>
    <row r="94" spans="2:17" ht="15.6">
      <c r="B94" s="78">
        <v>26456.47</v>
      </c>
      <c r="C94" s="78"/>
      <c r="D94" s="79">
        <v>2.81E-2</v>
      </c>
      <c r="E94" s="80" t="s">
        <v>243</v>
      </c>
      <c r="F94" s="226" t="s">
        <v>244</v>
      </c>
      <c r="G94" s="81">
        <v>600</v>
      </c>
      <c r="H94" s="68">
        <f>G94/G97</f>
        <v>0.11538461538461539</v>
      </c>
      <c r="I94" s="231">
        <v>0</v>
      </c>
      <c r="J94" s="231">
        <f>G94-I94</f>
        <v>600</v>
      </c>
      <c r="K94" s="232">
        <f>I94/G94</f>
        <v>0</v>
      </c>
      <c r="L94" s="81">
        <f>【參考用】【各組】2025年預算編列!G40</f>
        <v>655</v>
      </c>
      <c r="M94" s="160">
        <f>L94/G94</f>
        <v>1.0916666666666666</v>
      </c>
      <c r="N94" s="173">
        <v>600</v>
      </c>
      <c r="O94" s="68">
        <f>N94/N97</f>
        <v>5.2083333333333336E-2</v>
      </c>
      <c r="P94" s="172">
        <f>(N94-G94)/G94</f>
        <v>0</v>
      </c>
      <c r="Q94" s="251" t="s">
        <v>245</v>
      </c>
    </row>
    <row r="95" spans="2:17" ht="15.6">
      <c r="B95" s="78"/>
      <c r="C95" s="78"/>
      <c r="D95" s="79"/>
      <c r="E95" s="225" t="s">
        <v>246</v>
      </c>
      <c r="F95" s="226" t="s">
        <v>247</v>
      </c>
      <c r="G95" s="81">
        <v>0</v>
      </c>
      <c r="H95" s="68">
        <f>G95/G97</f>
        <v>0</v>
      </c>
      <c r="I95" s="229" t="s">
        <v>52</v>
      </c>
      <c r="J95" s="229" t="s">
        <v>52</v>
      </c>
      <c r="K95" s="230" t="s">
        <v>52</v>
      </c>
      <c r="L95" s="228" t="s">
        <v>52</v>
      </c>
      <c r="M95" s="227" t="s">
        <v>52</v>
      </c>
      <c r="N95" s="173">
        <f>【各組】2026年預算編列!E55</f>
        <v>6500</v>
      </c>
      <c r="O95" s="68">
        <f>N95/N97</f>
        <v>0.56423611111111116</v>
      </c>
      <c r="P95" s="233" t="s">
        <v>52</v>
      </c>
      <c r="Q95" s="235" t="s">
        <v>92</v>
      </c>
    </row>
    <row r="96" spans="2:17" ht="15.6">
      <c r="B96" s="78">
        <v>25330</v>
      </c>
      <c r="C96" s="78"/>
      <c r="D96" s="79">
        <v>0</v>
      </c>
      <c r="E96" s="80" t="s">
        <v>248</v>
      </c>
      <c r="F96" s="226" t="s">
        <v>249</v>
      </c>
      <c r="G96" s="81">
        <v>4600</v>
      </c>
      <c r="H96" s="68">
        <f>G96/G97</f>
        <v>0.88461538461538458</v>
      </c>
      <c r="I96" s="231">
        <v>0</v>
      </c>
      <c r="J96" s="231">
        <f>G96-I96</f>
        <v>4600</v>
      </c>
      <c r="K96" s="232">
        <f>I96/G96</f>
        <v>0</v>
      </c>
      <c r="L96" s="81">
        <f>【參考用】【各組】2025年預算編列!G51</f>
        <v>2060</v>
      </c>
      <c r="M96" s="160">
        <f>L96/G96</f>
        <v>0.44782608695652176</v>
      </c>
      <c r="N96" s="173">
        <f>【各組】2026年預算編列!E62</f>
        <v>4420</v>
      </c>
      <c r="O96" s="68">
        <f>N96/N97</f>
        <v>0.38368055555555558</v>
      </c>
      <c r="P96" s="172">
        <f>(N96-G96)/G96</f>
        <v>-3.9130434782608699E-2</v>
      </c>
      <c r="Q96" s="235" t="s">
        <v>92</v>
      </c>
    </row>
    <row r="97" spans="2:17" ht="16.899999999999999">
      <c r="B97" s="112">
        <f>SUM(B94:B96)</f>
        <v>51786.47</v>
      </c>
      <c r="C97" s="112"/>
      <c r="D97" s="113">
        <v>1.43E-2</v>
      </c>
      <c r="E97" s="271" t="s">
        <v>239</v>
      </c>
      <c r="F97" s="271"/>
      <c r="G97" s="82">
        <f>SUM(G94:G96)</f>
        <v>5200</v>
      </c>
      <c r="H97" s="83">
        <f>SUM(H94:H96)</f>
        <v>1</v>
      </c>
      <c r="I97" s="94">
        <f>SUM(I94:I96)</f>
        <v>0</v>
      </c>
      <c r="J97" s="74">
        <f>SUM(J94:J96)</f>
        <v>5200</v>
      </c>
      <c r="K97" s="95">
        <f>I97/G97</f>
        <v>0</v>
      </c>
      <c r="L97" s="92">
        <f>SUM(L94:L96)</f>
        <v>2715</v>
      </c>
      <c r="M97" s="91">
        <f>L97/G97</f>
        <v>0.52211538461538465</v>
      </c>
      <c r="N97" s="177">
        <f>SUM(N94:N96)</f>
        <v>11520</v>
      </c>
      <c r="O97" s="178">
        <f>SUM(O94:O96)</f>
        <v>1</v>
      </c>
      <c r="P97" s="181">
        <f>(N97-G97)/G97</f>
        <v>1.2153846153846153</v>
      </c>
      <c r="Q97" s="122"/>
    </row>
    <row r="99" spans="2:17" ht="26.45" thickBot="1">
      <c r="E99" s="265" t="s">
        <v>250</v>
      </c>
      <c r="F99" s="265"/>
      <c r="G99" s="265" t="s">
        <v>35</v>
      </c>
      <c r="H99" s="265"/>
      <c r="I99" s="266" t="s">
        <v>36</v>
      </c>
      <c r="J99" s="266"/>
      <c r="K99" s="266"/>
      <c r="L99" s="266" t="s">
        <v>37</v>
      </c>
      <c r="M99" s="266"/>
      <c r="N99" s="267" t="s">
        <v>38</v>
      </c>
      <c r="O99" s="268"/>
      <c r="P99" s="269"/>
    </row>
    <row r="100" spans="2:17" ht="15.6">
      <c r="E100" s="270" t="s">
        <v>251</v>
      </c>
      <c r="F100" s="270"/>
      <c r="G100" s="77" t="s">
        <v>252</v>
      </c>
      <c r="H100" s="77" t="s">
        <v>44</v>
      </c>
      <c r="I100" s="135" t="s">
        <v>45</v>
      </c>
      <c r="J100" s="93" t="s">
        <v>46</v>
      </c>
      <c r="K100" s="135" t="s">
        <v>47</v>
      </c>
      <c r="L100" s="90" t="s">
        <v>45</v>
      </c>
      <c r="M100" s="89" t="s">
        <v>47</v>
      </c>
      <c r="N100" s="180" t="s">
        <v>43</v>
      </c>
      <c r="O100" s="115" t="s">
        <v>44</v>
      </c>
      <c r="P100" s="166" t="s">
        <v>48</v>
      </c>
      <c r="Q100" s="122" t="s">
        <v>49</v>
      </c>
    </row>
    <row r="101" spans="2:17" ht="15.6">
      <c r="E101" s="80" t="s">
        <v>253</v>
      </c>
      <c r="F101" s="61" t="s">
        <v>254</v>
      </c>
      <c r="G101" s="84">
        <v>2000</v>
      </c>
      <c r="H101" s="68">
        <f>G101/G102</f>
        <v>1</v>
      </c>
      <c r="I101" s="231">
        <v>0</v>
      </c>
      <c r="J101" s="81">
        <f>G101-I101</f>
        <v>2000</v>
      </c>
      <c r="K101" s="232">
        <f>I101/G101</f>
        <v>0</v>
      </c>
      <c r="L101" s="81">
        <v>2000</v>
      </c>
      <c r="M101" s="160">
        <f>L101/G101</f>
        <v>1</v>
      </c>
      <c r="N101" s="173">
        <v>1000</v>
      </c>
      <c r="O101" s="68">
        <f>N101/N102</f>
        <v>1</v>
      </c>
      <c r="P101" s="172">
        <f>(N101-G101)/G101</f>
        <v>-0.5</v>
      </c>
      <c r="Q101" s="234" t="s">
        <v>255</v>
      </c>
    </row>
    <row r="102" spans="2:17" ht="18.75" customHeight="1">
      <c r="E102" s="271" t="s">
        <v>239</v>
      </c>
      <c r="F102" s="271"/>
      <c r="G102" s="85">
        <f>SUM(G101:G101)</f>
        <v>2000</v>
      </c>
      <c r="H102" s="86">
        <f>SUM(H101)</f>
        <v>1</v>
      </c>
      <c r="I102" s="94">
        <f>SUM(I101:I101)</f>
        <v>0</v>
      </c>
      <c r="J102" s="74">
        <f>SUM(J101:J101)</f>
        <v>2000</v>
      </c>
      <c r="K102" s="95">
        <f>I102/G102</f>
        <v>0</v>
      </c>
      <c r="L102" s="92">
        <f>SUM(L101)</f>
        <v>2000</v>
      </c>
      <c r="M102" s="91">
        <f>L102/G102</f>
        <v>1</v>
      </c>
      <c r="N102" s="177">
        <f>SUM(N101)</f>
        <v>1000</v>
      </c>
      <c r="O102" s="178">
        <f>SUM(O101)</f>
        <v>1</v>
      </c>
      <c r="P102" s="181">
        <f>(N102-G102)/G102</f>
        <v>-0.5</v>
      </c>
      <c r="Q102" s="122"/>
    </row>
    <row r="107" spans="2:17">
      <c r="G107" s="33" t="s">
        <v>256</v>
      </c>
    </row>
  </sheetData>
  <mergeCells count="24">
    <mergeCell ref="E100:F100"/>
    <mergeCell ref="E102:F102"/>
    <mergeCell ref="E93:F93"/>
    <mergeCell ref="E97:F97"/>
    <mergeCell ref="G99:H99"/>
    <mergeCell ref="E99:F99"/>
    <mergeCell ref="I99:K99"/>
    <mergeCell ref="L99:M99"/>
    <mergeCell ref="N99:P99"/>
    <mergeCell ref="E3:F3"/>
    <mergeCell ref="E89:F89"/>
    <mergeCell ref="I92:K92"/>
    <mergeCell ref="L92:M92"/>
    <mergeCell ref="N92:P92"/>
    <mergeCell ref="E92:F92"/>
    <mergeCell ref="G92:H92"/>
    <mergeCell ref="E1:M1"/>
    <mergeCell ref="N1:Q1"/>
    <mergeCell ref="B2:D2"/>
    <mergeCell ref="E2:F2"/>
    <mergeCell ref="G2:H2"/>
    <mergeCell ref="I2:K2"/>
    <mergeCell ref="L2:M2"/>
    <mergeCell ref="N2:P2"/>
  </mergeCells>
  <phoneticPr fontId="4" type="noConversion"/>
  <hyperlinks>
    <hyperlink ref="Q18" location="【各組】2026年預算編列!A1" display="詳【各組】2026年預算編列" xr:uid="{C26C4AC6-6EA2-40B9-BDB0-37242517EC2A}"/>
    <hyperlink ref="Q56" location="【各組】2026年預算編列!A1" display="詳【各組】2026年預算編列" xr:uid="{322DE90E-A58D-4C98-9CE2-A7DEC7D4C119}"/>
    <hyperlink ref="Q64" location="【各組】2026年預算編列!A1" display="詳【各組】2026年預算編列" xr:uid="{E2260355-6855-44E9-AFF7-0FECC4A71A3A}"/>
    <hyperlink ref="Q66" location="【各組】2026年預算編列!A1" display="詳【各組】2026年預算編列" xr:uid="{BAE375C5-91E3-43DE-ABEC-7483AB013270}"/>
    <hyperlink ref="Q95" location="【各組】2026年預算編列!A1" display="詳【各組】2026年預算編列" xr:uid="{AEF3A0E5-9D14-4578-B555-2E129C0D13C3}"/>
    <hyperlink ref="Q96" location="【各組】2026年預算編列!A1" display="詳【各組】2026年預算編列" xr:uid="{3EBEF22D-46CF-474B-96D8-345E78B062BA}"/>
  </hyperlinks>
  <pageMargins left="0.7" right="0.7" top="0.75" bottom="0.75" header="0.3" footer="0.3"/>
  <pageSetup paperSize="9" orientation="portrait" r:id="rId1"/>
  <ignoredErrors>
    <ignoredError sqref="K89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2FB86-E92E-4C71-80EE-FA7D79A96813}">
  <sheetPr>
    <tabColor rgb="FFFF0000"/>
  </sheetPr>
  <dimension ref="A2:M99"/>
  <sheetViews>
    <sheetView topLeftCell="A28" zoomScale="70" zoomScaleNormal="70" workbookViewId="0">
      <selection activeCell="D14" sqref="D14"/>
    </sheetView>
  </sheetViews>
  <sheetFormatPr defaultRowHeight="15"/>
  <cols>
    <col min="1" max="1" width="9.140625" style="32"/>
    <col min="2" max="2" width="12" style="32" bestFit="1" customWidth="1"/>
    <col min="3" max="3" width="4.5703125" style="32" bestFit="1" customWidth="1"/>
    <col min="4" max="4" width="89.5703125" style="32" customWidth="1"/>
    <col min="5" max="5" width="14" style="32" bestFit="1" customWidth="1"/>
    <col min="6" max="6" width="17.7109375" style="32" bestFit="1" customWidth="1"/>
    <col min="7" max="7" width="33.5703125" style="32" bestFit="1" customWidth="1"/>
    <col min="8" max="11" width="11" style="32" hidden="1" customWidth="1"/>
    <col min="12" max="12" width="87.28515625" style="32" bestFit="1" customWidth="1"/>
    <col min="13" max="13" width="47.5703125" style="32" customWidth="1"/>
    <col min="14" max="258" width="9.140625" style="32"/>
    <col min="259" max="259" width="10.85546875" style="32" bestFit="1" customWidth="1"/>
    <col min="260" max="260" width="4.5703125" style="32" bestFit="1" customWidth="1"/>
    <col min="261" max="261" width="79.42578125" style="32" customWidth="1"/>
    <col min="262" max="262" width="11.5703125" style="32" customWidth="1"/>
    <col min="263" max="263" width="15.140625" style="32" bestFit="1" customWidth="1"/>
    <col min="264" max="267" width="11" style="32" customWidth="1"/>
    <col min="268" max="268" width="86.7109375" style="32" bestFit="1" customWidth="1"/>
    <col min="269" max="269" width="47.5703125" style="32" customWidth="1"/>
    <col min="270" max="514" width="9.140625" style="32"/>
    <col min="515" max="515" width="10.85546875" style="32" bestFit="1" customWidth="1"/>
    <col min="516" max="516" width="4.5703125" style="32" bestFit="1" customWidth="1"/>
    <col min="517" max="517" width="79.42578125" style="32" customWidth="1"/>
    <col min="518" max="518" width="11.5703125" style="32" customWidth="1"/>
    <col min="519" max="519" width="15.140625" style="32" bestFit="1" customWidth="1"/>
    <col min="520" max="523" width="11" style="32" customWidth="1"/>
    <col min="524" max="524" width="86.7109375" style="32" bestFit="1" customWidth="1"/>
    <col min="525" max="525" width="47.5703125" style="32" customWidth="1"/>
    <col min="526" max="770" width="9.140625" style="32"/>
    <col min="771" max="771" width="10.85546875" style="32" bestFit="1" customWidth="1"/>
    <col min="772" max="772" width="4.5703125" style="32" bestFit="1" customWidth="1"/>
    <col min="773" max="773" width="79.42578125" style="32" customWidth="1"/>
    <col min="774" max="774" width="11.5703125" style="32" customWidth="1"/>
    <col min="775" max="775" width="15.140625" style="32" bestFit="1" customWidth="1"/>
    <col min="776" max="779" width="11" style="32" customWidth="1"/>
    <col min="780" max="780" width="86.7109375" style="32" bestFit="1" customWidth="1"/>
    <col min="781" max="781" width="47.5703125" style="32" customWidth="1"/>
    <col min="782" max="1026" width="9.140625" style="32"/>
    <col min="1027" max="1027" width="10.85546875" style="32" bestFit="1" customWidth="1"/>
    <col min="1028" max="1028" width="4.5703125" style="32" bestFit="1" customWidth="1"/>
    <col min="1029" max="1029" width="79.42578125" style="32" customWidth="1"/>
    <col min="1030" max="1030" width="11.5703125" style="32" customWidth="1"/>
    <col min="1031" max="1031" width="15.140625" style="32" bestFit="1" customWidth="1"/>
    <col min="1032" max="1035" width="11" style="32" customWidth="1"/>
    <col min="1036" max="1036" width="86.7109375" style="32" bestFit="1" customWidth="1"/>
    <col min="1037" max="1037" width="47.5703125" style="32" customWidth="1"/>
    <col min="1038" max="1282" width="9.140625" style="32"/>
    <col min="1283" max="1283" width="10.85546875" style="32" bestFit="1" customWidth="1"/>
    <col min="1284" max="1284" width="4.5703125" style="32" bestFit="1" customWidth="1"/>
    <col min="1285" max="1285" width="79.42578125" style="32" customWidth="1"/>
    <col min="1286" max="1286" width="11.5703125" style="32" customWidth="1"/>
    <col min="1287" max="1287" width="15.140625" style="32" bestFit="1" customWidth="1"/>
    <col min="1288" max="1291" width="11" style="32" customWidth="1"/>
    <col min="1292" max="1292" width="86.7109375" style="32" bestFit="1" customWidth="1"/>
    <col min="1293" max="1293" width="47.5703125" style="32" customWidth="1"/>
    <col min="1294" max="1538" width="9.140625" style="32"/>
    <col min="1539" max="1539" width="10.85546875" style="32" bestFit="1" customWidth="1"/>
    <col min="1540" max="1540" width="4.5703125" style="32" bestFit="1" customWidth="1"/>
    <col min="1541" max="1541" width="79.42578125" style="32" customWidth="1"/>
    <col min="1542" max="1542" width="11.5703125" style="32" customWidth="1"/>
    <col min="1543" max="1543" width="15.140625" style="32" bestFit="1" customWidth="1"/>
    <col min="1544" max="1547" width="11" style="32" customWidth="1"/>
    <col min="1548" max="1548" width="86.7109375" style="32" bestFit="1" customWidth="1"/>
    <col min="1549" max="1549" width="47.5703125" style="32" customWidth="1"/>
    <col min="1550" max="1794" width="9.140625" style="32"/>
    <col min="1795" max="1795" width="10.85546875" style="32" bestFit="1" customWidth="1"/>
    <col min="1796" max="1796" width="4.5703125" style="32" bestFit="1" customWidth="1"/>
    <col min="1797" max="1797" width="79.42578125" style="32" customWidth="1"/>
    <col min="1798" max="1798" width="11.5703125" style="32" customWidth="1"/>
    <col min="1799" max="1799" width="15.140625" style="32" bestFit="1" customWidth="1"/>
    <col min="1800" max="1803" width="11" style="32" customWidth="1"/>
    <col min="1804" max="1804" width="86.7109375" style="32" bestFit="1" customWidth="1"/>
    <col min="1805" max="1805" width="47.5703125" style="32" customWidth="1"/>
    <col min="1806" max="2050" width="9.140625" style="32"/>
    <col min="2051" max="2051" width="10.85546875" style="32" bestFit="1" customWidth="1"/>
    <col min="2052" max="2052" width="4.5703125" style="32" bestFit="1" customWidth="1"/>
    <col min="2053" max="2053" width="79.42578125" style="32" customWidth="1"/>
    <col min="2054" max="2054" width="11.5703125" style="32" customWidth="1"/>
    <col min="2055" max="2055" width="15.140625" style="32" bestFit="1" customWidth="1"/>
    <col min="2056" max="2059" width="11" style="32" customWidth="1"/>
    <col min="2060" max="2060" width="86.7109375" style="32" bestFit="1" customWidth="1"/>
    <col min="2061" max="2061" width="47.5703125" style="32" customWidth="1"/>
    <col min="2062" max="2306" width="9.140625" style="32"/>
    <col min="2307" max="2307" width="10.85546875" style="32" bestFit="1" customWidth="1"/>
    <col min="2308" max="2308" width="4.5703125" style="32" bestFit="1" customWidth="1"/>
    <col min="2309" max="2309" width="79.42578125" style="32" customWidth="1"/>
    <col min="2310" max="2310" width="11.5703125" style="32" customWidth="1"/>
    <col min="2311" max="2311" width="15.140625" style="32" bestFit="1" customWidth="1"/>
    <col min="2312" max="2315" width="11" style="32" customWidth="1"/>
    <col min="2316" max="2316" width="86.7109375" style="32" bestFit="1" customWidth="1"/>
    <col min="2317" max="2317" width="47.5703125" style="32" customWidth="1"/>
    <col min="2318" max="2562" width="9.140625" style="32"/>
    <col min="2563" max="2563" width="10.85546875" style="32" bestFit="1" customWidth="1"/>
    <col min="2564" max="2564" width="4.5703125" style="32" bestFit="1" customWidth="1"/>
    <col min="2565" max="2565" width="79.42578125" style="32" customWidth="1"/>
    <col min="2566" max="2566" width="11.5703125" style="32" customWidth="1"/>
    <col min="2567" max="2567" width="15.140625" style="32" bestFit="1" customWidth="1"/>
    <col min="2568" max="2571" width="11" style="32" customWidth="1"/>
    <col min="2572" max="2572" width="86.7109375" style="32" bestFit="1" customWidth="1"/>
    <col min="2573" max="2573" width="47.5703125" style="32" customWidth="1"/>
    <col min="2574" max="2818" width="9.140625" style="32"/>
    <col min="2819" max="2819" width="10.85546875" style="32" bestFit="1" customWidth="1"/>
    <col min="2820" max="2820" width="4.5703125" style="32" bestFit="1" customWidth="1"/>
    <col min="2821" max="2821" width="79.42578125" style="32" customWidth="1"/>
    <col min="2822" max="2822" width="11.5703125" style="32" customWidth="1"/>
    <col min="2823" max="2823" width="15.140625" style="32" bestFit="1" customWidth="1"/>
    <col min="2824" max="2827" width="11" style="32" customWidth="1"/>
    <col min="2828" max="2828" width="86.7109375" style="32" bestFit="1" customWidth="1"/>
    <col min="2829" max="2829" width="47.5703125" style="32" customWidth="1"/>
    <col min="2830" max="3074" width="9.140625" style="32"/>
    <col min="3075" max="3075" width="10.85546875" style="32" bestFit="1" customWidth="1"/>
    <col min="3076" max="3076" width="4.5703125" style="32" bestFit="1" customWidth="1"/>
    <col min="3077" max="3077" width="79.42578125" style="32" customWidth="1"/>
    <col min="3078" max="3078" width="11.5703125" style="32" customWidth="1"/>
    <col min="3079" max="3079" width="15.140625" style="32" bestFit="1" customWidth="1"/>
    <col min="3080" max="3083" width="11" style="32" customWidth="1"/>
    <col min="3084" max="3084" width="86.7109375" style="32" bestFit="1" customWidth="1"/>
    <col min="3085" max="3085" width="47.5703125" style="32" customWidth="1"/>
    <col min="3086" max="3330" width="9.140625" style="32"/>
    <col min="3331" max="3331" width="10.85546875" style="32" bestFit="1" customWidth="1"/>
    <col min="3332" max="3332" width="4.5703125" style="32" bestFit="1" customWidth="1"/>
    <col min="3333" max="3333" width="79.42578125" style="32" customWidth="1"/>
    <col min="3334" max="3334" width="11.5703125" style="32" customWidth="1"/>
    <col min="3335" max="3335" width="15.140625" style="32" bestFit="1" customWidth="1"/>
    <col min="3336" max="3339" width="11" style="32" customWidth="1"/>
    <col min="3340" max="3340" width="86.7109375" style="32" bestFit="1" customWidth="1"/>
    <col min="3341" max="3341" width="47.5703125" style="32" customWidth="1"/>
    <col min="3342" max="3586" width="9.140625" style="32"/>
    <col min="3587" max="3587" width="10.85546875" style="32" bestFit="1" customWidth="1"/>
    <col min="3588" max="3588" width="4.5703125" style="32" bestFit="1" customWidth="1"/>
    <col min="3589" max="3589" width="79.42578125" style="32" customWidth="1"/>
    <col min="3590" max="3590" width="11.5703125" style="32" customWidth="1"/>
    <col min="3591" max="3591" width="15.140625" style="32" bestFit="1" customWidth="1"/>
    <col min="3592" max="3595" width="11" style="32" customWidth="1"/>
    <col min="3596" max="3596" width="86.7109375" style="32" bestFit="1" customWidth="1"/>
    <col min="3597" max="3597" width="47.5703125" style="32" customWidth="1"/>
    <col min="3598" max="3842" width="9.140625" style="32"/>
    <col min="3843" max="3843" width="10.85546875" style="32" bestFit="1" customWidth="1"/>
    <col min="3844" max="3844" width="4.5703125" style="32" bestFit="1" customWidth="1"/>
    <col min="3845" max="3845" width="79.42578125" style="32" customWidth="1"/>
    <col min="3846" max="3846" width="11.5703125" style="32" customWidth="1"/>
    <col min="3847" max="3847" width="15.140625" style="32" bestFit="1" customWidth="1"/>
    <col min="3848" max="3851" width="11" style="32" customWidth="1"/>
    <col min="3852" max="3852" width="86.7109375" style="32" bestFit="1" customWidth="1"/>
    <col min="3853" max="3853" width="47.5703125" style="32" customWidth="1"/>
    <col min="3854" max="4098" width="9.140625" style="32"/>
    <col min="4099" max="4099" width="10.85546875" style="32" bestFit="1" customWidth="1"/>
    <col min="4100" max="4100" width="4.5703125" style="32" bestFit="1" customWidth="1"/>
    <col min="4101" max="4101" width="79.42578125" style="32" customWidth="1"/>
    <col min="4102" max="4102" width="11.5703125" style="32" customWidth="1"/>
    <col min="4103" max="4103" width="15.140625" style="32" bestFit="1" customWidth="1"/>
    <col min="4104" max="4107" width="11" style="32" customWidth="1"/>
    <col min="4108" max="4108" width="86.7109375" style="32" bestFit="1" customWidth="1"/>
    <col min="4109" max="4109" width="47.5703125" style="32" customWidth="1"/>
    <col min="4110" max="4354" width="9.140625" style="32"/>
    <col min="4355" max="4355" width="10.85546875" style="32" bestFit="1" customWidth="1"/>
    <col min="4356" max="4356" width="4.5703125" style="32" bestFit="1" customWidth="1"/>
    <col min="4357" max="4357" width="79.42578125" style="32" customWidth="1"/>
    <col min="4358" max="4358" width="11.5703125" style="32" customWidth="1"/>
    <col min="4359" max="4359" width="15.140625" style="32" bestFit="1" customWidth="1"/>
    <col min="4360" max="4363" width="11" style="32" customWidth="1"/>
    <col min="4364" max="4364" width="86.7109375" style="32" bestFit="1" customWidth="1"/>
    <col min="4365" max="4365" width="47.5703125" style="32" customWidth="1"/>
    <col min="4366" max="4610" width="9.140625" style="32"/>
    <col min="4611" max="4611" width="10.85546875" style="32" bestFit="1" customWidth="1"/>
    <col min="4612" max="4612" width="4.5703125" style="32" bestFit="1" customWidth="1"/>
    <col min="4613" max="4613" width="79.42578125" style="32" customWidth="1"/>
    <col min="4614" max="4614" width="11.5703125" style="32" customWidth="1"/>
    <col min="4615" max="4615" width="15.140625" style="32" bestFit="1" customWidth="1"/>
    <col min="4616" max="4619" width="11" style="32" customWidth="1"/>
    <col min="4620" max="4620" width="86.7109375" style="32" bestFit="1" customWidth="1"/>
    <col min="4621" max="4621" width="47.5703125" style="32" customWidth="1"/>
    <col min="4622" max="4866" width="9.140625" style="32"/>
    <col min="4867" max="4867" width="10.85546875" style="32" bestFit="1" customWidth="1"/>
    <col min="4868" max="4868" width="4.5703125" style="32" bestFit="1" customWidth="1"/>
    <col min="4869" max="4869" width="79.42578125" style="32" customWidth="1"/>
    <col min="4870" max="4870" width="11.5703125" style="32" customWidth="1"/>
    <col min="4871" max="4871" width="15.140625" style="32" bestFit="1" customWidth="1"/>
    <col min="4872" max="4875" width="11" style="32" customWidth="1"/>
    <col min="4876" max="4876" width="86.7109375" style="32" bestFit="1" customWidth="1"/>
    <col min="4877" max="4877" width="47.5703125" style="32" customWidth="1"/>
    <col min="4878" max="5122" width="9.140625" style="32"/>
    <col min="5123" max="5123" width="10.85546875" style="32" bestFit="1" customWidth="1"/>
    <col min="5124" max="5124" width="4.5703125" style="32" bestFit="1" customWidth="1"/>
    <col min="5125" max="5125" width="79.42578125" style="32" customWidth="1"/>
    <col min="5126" max="5126" width="11.5703125" style="32" customWidth="1"/>
    <col min="5127" max="5127" width="15.140625" style="32" bestFit="1" customWidth="1"/>
    <col min="5128" max="5131" width="11" style="32" customWidth="1"/>
    <col min="5132" max="5132" width="86.7109375" style="32" bestFit="1" customWidth="1"/>
    <col min="5133" max="5133" width="47.5703125" style="32" customWidth="1"/>
    <col min="5134" max="5378" width="9.140625" style="32"/>
    <col min="5379" max="5379" width="10.85546875" style="32" bestFit="1" customWidth="1"/>
    <col min="5380" max="5380" width="4.5703125" style="32" bestFit="1" customWidth="1"/>
    <col min="5381" max="5381" width="79.42578125" style="32" customWidth="1"/>
    <col min="5382" max="5382" width="11.5703125" style="32" customWidth="1"/>
    <col min="5383" max="5383" width="15.140625" style="32" bestFit="1" customWidth="1"/>
    <col min="5384" max="5387" width="11" style="32" customWidth="1"/>
    <col min="5388" max="5388" width="86.7109375" style="32" bestFit="1" customWidth="1"/>
    <col min="5389" max="5389" width="47.5703125" style="32" customWidth="1"/>
    <col min="5390" max="5634" width="9.140625" style="32"/>
    <col min="5635" max="5635" width="10.85546875" style="32" bestFit="1" customWidth="1"/>
    <col min="5636" max="5636" width="4.5703125" style="32" bestFit="1" customWidth="1"/>
    <col min="5637" max="5637" width="79.42578125" style="32" customWidth="1"/>
    <col min="5638" max="5638" width="11.5703125" style="32" customWidth="1"/>
    <col min="5639" max="5639" width="15.140625" style="32" bestFit="1" customWidth="1"/>
    <col min="5640" max="5643" width="11" style="32" customWidth="1"/>
    <col min="5644" max="5644" width="86.7109375" style="32" bestFit="1" customWidth="1"/>
    <col min="5645" max="5645" width="47.5703125" style="32" customWidth="1"/>
    <col min="5646" max="5890" width="9.140625" style="32"/>
    <col min="5891" max="5891" width="10.85546875" style="32" bestFit="1" customWidth="1"/>
    <col min="5892" max="5892" width="4.5703125" style="32" bestFit="1" customWidth="1"/>
    <col min="5893" max="5893" width="79.42578125" style="32" customWidth="1"/>
    <col min="5894" max="5894" width="11.5703125" style="32" customWidth="1"/>
    <col min="5895" max="5895" width="15.140625" style="32" bestFit="1" customWidth="1"/>
    <col min="5896" max="5899" width="11" style="32" customWidth="1"/>
    <col min="5900" max="5900" width="86.7109375" style="32" bestFit="1" customWidth="1"/>
    <col min="5901" max="5901" width="47.5703125" style="32" customWidth="1"/>
    <col min="5902" max="6146" width="9.140625" style="32"/>
    <col min="6147" max="6147" width="10.85546875" style="32" bestFit="1" customWidth="1"/>
    <col min="6148" max="6148" width="4.5703125" style="32" bestFit="1" customWidth="1"/>
    <col min="6149" max="6149" width="79.42578125" style="32" customWidth="1"/>
    <col min="6150" max="6150" width="11.5703125" style="32" customWidth="1"/>
    <col min="6151" max="6151" width="15.140625" style="32" bestFit="1" customWidth="1"/>
    <col min="6152" max="6155" width="11" style="32" customWidth="1"/>
    <col min="6156" max="6156" width="86.7109375" style="32" bestFit="1" customWidth="1"/>
    <col min="6157" max="6157" width="47.5703125" style="32" customWidth="1"/>
    <col min="6158" max="6402" width="9.140625" style="32"/>
    <col min="6403" max="6403" width="10.85546875" style="32" bestFit="1" customWidth="1"/>
    <col min="6404" max="6404" width="4.5703125" style="32" bestFit="1" customWidth="1"/>
    <col min="6405" max="6405" width="79.42578125" style="32" customWidth="1"/>
    <col min="6406" max="6406" width="11.5703125" style="32" customWidth="1"/>
    <col min="6407" max="6407" width="15.140625" style="32" bestFit="1" customWidth="1"/>
    <col min="6408" max="6411" width="11" style="32" customWidth="1"/>
    <col min="6412" max="6412" width="86.7109375" style="32" bestFit="1" customWidth="1"/>
    <col min="6413" max="6413" width="47.5703125" style="32" customWidth="1"/>
    <col min="6414" max="6658" width="9.140625" style="32"/>
    <col min="6659" max="6659" width="10.85546875" style="32" bestFit="1" customWidth="1"/>
    <col min="6660" max="6660" width="4.5703125" style="32" bestFit="1" customWidth="1"/>
    <col min="6661" max="6661" width="79.42578125" style="32" customWidth="1"/>
    <col min="6662" max="6662" width="11.5703125" style="32" customWidth="1"/>
    <col min="6663" max="6663" width="15.140625" style="32" bestFit="1" customWidth="1"/>
    <col min="6664" max="6667" width="11" style="32" customWidth="1"/>
    <col min="6668" max="6668" width="86.7109375" style="32" bestFit="1" customWidth="1"/>
    <col min="6669" max="6669" width="47.5703125" style="32" customWidth="1"/>
    <col min="6670" max="6914" width="9.140625" style="32"/>
    <col min="6915" max="6915" width="10.85546875" style="32" bestFit="1" customWidth="1"/>
    <col min="6916" max="6916" width="4.5703125" style="32" bestFit="1" customWidth="1"/>
    <col min="6917" max="6917" width="79.42578125" style="32" customWidth="1"/>
    <col min="6918" max="6918" width="11.5703125" style="32" customWidth="1"/>
    <col min="6919" max="6919" width="15.140625" style="32" bestFit="1" customWidth="1"/>
    <col min="6920" max="6923" width="11" style="32" customWidth="1"/>
    <col min="6924" max="6924" width="86.7109375" style="32" bestFit="1" customWidth="1"/>
    <col min="6925" max="6925" width="47.5703125" style="32" customWidth="1"/>
    <col min="6926" max="7170" width="9.140625" style="32"/>
    <col min="7171" max="7171" width="10.85546875" style="32" bestFit="1" customWidth="1"/>
    <col min="7172" max="7172" width="4.5703125" style="32" bestFit="1" customWidth="1"/>
    <col min="7173" max="7173" width="79.42578125" style="32" customWidth="1"/>
    <col min="7174" max="7174" width="11.5703125" style="32" customWidth="1"/>
    <col min="7175" max="7175" width="15.140625" style="32" bestFit="1" customWidth="1"/>
    <col min="7176" max="7179" width="11" style="32" customWidth="1"/>
    <col min="7180" max="7180" width="86.7109375" style="32" bestFit="1" customWidth="1"/>
    <col min="7181" max="7181" width="47.5703125" style="32" customWidth="1"/>
    <col min="7182" max="7426" width="9.140625" style="32"/>
    <col min="7427" max="7427" width="10.85546875" style="32" bestFit="1" customWidth="1"/>
    <col min="7428" max="7428" width="4.5703125" style="32" bestFit="1" customWidth="1"/>
    <col min="7429" max="7429" width="79.42578125" style="32" customWidth="1"/>
    <col min="7430" max="7430" width="11.5703125" style="32" customWidth="1"/>
    <col min="7431" max="7431" width="15.140625" style="32" bestFit="1" customWidth="1"/>
    <col min="7432" max="7435" width="11" style="32" customWidth="1"/>
    <col min="7436" max="7436" width="86.7109375" style="32" bestFit="1" customWidth="1"/>
    <col min="7437" max="7437" width="47.5703125" style="32" customWidth="1"/>
    <col min="7438" max="7682" width="9.140625" style="32"/>
    <col min="7683" max="7683" width="10.85546875" style="32" bestFit="1" customWidth="1"/>
    <col min="7684" max="7684" width="4.5703125" style="32" bestFit="1" customWidth="1"/>
    <col min="7685" max="7685" width="79.42578125" style="32" customWidth="1"/>
    <col min="7686" max="7686" width="11.5703125" style="32" customWidth="1"/>
    <col min="7687" max="7687" width="15.140625" style="32" bestFit="1" customWidth="1"/>
    <col min="7688" max="7691" width="11" style="32" customWidth="1"/>
    <col min="7692" max="7692" width="86.7109375" style="32" bestFit="1" customWidth="1"/>
    <col min="7693" max="7693" width="47.5703125" style="32" customWidth="1"/>
    <col min="7694" max="7938" width="9.140625" style="32"/>
    <col min="7939" max="7939" width="10.85546875" style="32" bestFit="1" customWidth="1"/>
    <col min="7940" max="7940" width="4.5703125" style="32" bestFit="1" customWidth="1"/>
    <col min="7941" max="7941" width="79.42578125" style="32" customWidth="1"/>
    <col min="7942" max="7942" width="11.5703125" style="32" customWidth="1"/>
    <col min="7943" max="7943" width="15.140625" style="32" bestFit="1" customWidth="1"/>
    <col min="7944" max="7947" width="11" style="32" customWidth="1"/>
    <col min="7948" max="7948" width="86.7109375" style="32" bestFit="1" customWidth="1"/>
    <col min="7949" max="7949" width="47.5703125" style="32" customWidth="1"/>
    <col min="7950" max="8194" width="9.140625" style="32"/>
    <col min="8195" max="8195" width="10.85546875" style="32" bestFit="1" customWidth="1"/>
    <col min="8196" max="8196" width="4.5703125" style="32" bestFit="1" customWidth="1"/>
    <col min="8197" max="8197" width="79.42578125" style="32" customWidth="1"/>
    <col min="8198" max="8198" width="11.5703125" style="32" customWidth="1"/>
    <col min="8199" max="8199" width="15.140625" style="32" bestFit="1" customWidth="1"/>
    <col min="8200" max="8203" width="11" style="32" customWidth="1"/>
    <col min="8204" max="8204" width="86.7109375" style="32" bestFit="1" customWidth="1"/>
    <col min="8205" max="8205" width="47.5703125" style="32" customWidth="1"/>
    <col min="8206" max="8450" width="9.140625" style="32"/>
    <col min="8451" max="8451" width="10.85546875" style="32" bestFit="1" customWidth="1"/>
    <col min="8452" max="8452" width="4.5703125" style="32" bestFit="1" customWidth="1"/>
    <col min="8453" max="8453" width="79.42578125" style="32" customWidth="1"/>
    <col min="8454" max="8454" width="11.5703125" style="32" customWidth="1"/>
    <col min="8455" max="8455" width="15.140625" style="32" bestFit="1" customWidth="1"/>
    <col min="8456" max="8459" width="11" style="32" customWidth="1"/>
    <col min="8460" max="8460" width="86.7109375" style="32" bestFit="1" customWidth="1"/>
    <col min="8461" max="8461" width="47.5703125" style="32" customWidth="1"/>
    <col min="8462" max="8706" width="9.140625" style="32"/>
    <col min="8707" max="8707" width="10.85546875" style="32" bestFit="1" customWidth="1"/>
    <col min="8708" max="8708" width="4.5703125" style="32" bestFit="1" customWidth="1"/>
    <col min="8709" max="8709" width="79.42578125" style="32" customWidth="1"/>
    <col min="8710" max="8710" width="11.5703125" style="32" customWidth="1"/>
    <col min="8711" max="8711" width="15.140625" style="32" bestFit="1" customWidth="1"/>
    <col min="8712" max="8715" width="11" style="32" customWidth="1"/>
    <col min="8716" max="8716" width="86.7109375" style="32" bestFit="1" customWidth="1"/>
    <col min="8717" max="8717" width="47.5703125" style="32" customWidth="1"/>
    <col min="8718" max="8962" width="9.140625" style="32"/>
    <col min="8963" max="8963" width="10.85546875" style="32" bestFit="1" customWidth="1"/>
    <col min="8964" max="8964" width="4.5703125" style="32" bestFit="1" customWidth="1"/>
    <col min="8965" max="8965" width="79.42578125" style="32" customWidth="1"/>
    <col min="8966" max="8966" width="11.5703125" style="32" customWidth="1"/>
    <col min="8967" max="8967" width="15.140625" style="32" bestFit="1" customWidth="1"/>
    <col min="8968" max="8971" width="11" style="32" customWidth="1"/>
    <col min="8972" max="8972" width="86.7109375" style="32" bestFit="1" customWidth="1"/>
    <col min="8973" max="8973" width="47.5703125" style="32" customWidth="1"/>
    <col min="8974" max="9218" width="9.140625" style="32"/>
    <col min="9219" max="9219" width="10.85546875" style="32" bestFit="1" customWidth="1"/>
    <col min="9220" max="9220" width="4.5703125" style="32" bestFit="1" customWidth="1"/>
    <col min="9221" max="9221" width="79.42578125" style="32" customWidth="1"/>
    <col min="9222" max="9222" width="11.5703125" style="32" customWidth="1"/>
    <col min="9223" max="9223" width="15.140625" style="32" bestFit="1" customWidth="1"/>
    <col min="9224" max="9227" width="11" style="32" customWidth="1"/>
    <col min="9228" max="9228" width="86.7109375" style="32" bestFit="1" customWidth="1"/>
    <col min="9229" max="9229" width="47.5703125" style="32" customWidth="1"/>
    <col min="9230" max="9474" width="9.140625" style="32"/>
    <col min="9475" max="9475" width="10.85546875" style="32" bestFit="1" customWidth="1"/>
    <col min="9476" max="9476" width="4.5703125" style="32" bestFit="1" customWidth="1"/>
    <col min="9477" max="9477" width="79.42578125" style="32" customWidth="1"/>
    <col min="9478" max="9478" width="11.5703125" style="32" customWidth="1"/>
    <col min="9479" max="9479" width="15.140625" style="32" bestFit="1" customWidth="1"/>
    <col min="9480" max="9483" width="11" style="32" customWidth="1"/>
    <col min="9484" max="9484" width="86.7109375" style="32" bestFit="1" customWidth="1"/>
    <col min="9485" max="9485" width="47.5703125" style="32" customWidth="1"/>
    <col min="9486" max="9730" width="9.140625" style="32"/>
    <col min="9731" max="9731" width="10.85546875" style="32" bestFit="1" customWidth="1"/>
    <col min="9732" max="9732" width="4.5703125" style="32" bestFit="1" customWidth="1"/>
    <col min="9733" max="9733" width="79.42578125" style="32" customWidth="1"/>
    <col min="9734" max="9734" width="11.5703125" style="32" customWidth="1"/>
    <col min="9735" max="9735" width="15.140625" style="32" bestFit="1" customWidth="1"/>
    <col min="9736" max="9739" width="11" style="32" customWidth="1"/>
    <col min="9740" max="9740" width="86.7109375" style="32" bestFit="1" customWidth="1"/>
    <col min="9741" max="9741" width="47.5703125" style="32" customWidth="1"/>
    <col min="9742" max="9986" width="9.140625" style="32"/>
    <col min="9987" max="9987" width="10.85546875" style="32" bestFit="1" customWidth="1"/>
    <col min="9988" max="9988" width="4.5703125" style="32" bestFit="1" customWidth="1"/>
    <col min="9989" max="9989" width="79.42578125" style="32" customWidth="1"/>
    <col min="9990" max="9990" width="11.5703125" style="32" customWidth="1"/>
    <col min="9991" max="9991" width="15.140625" style="32" bestFit="1" customWidth="1"/>
    <col min="9992" max="9995" width="11" style="32" customWidth="1"/>
    <col min="9996" max="9996" width="86.7109375" style="32" bestFit="1" customWidth="1"/>
    <col min="9997" max="9997" width="47.5703125" style="32" customWidth="1"/>
    <col min="9998" max="10242" width="9.140625" style="32"/>
    <col min="10243" max="10243" width="10.85546875" style="32" bestFit="1" customWidth="1"/>
    <col min="10244" max="10244" width="4.5703125" style="32" bestFit="1" customWidth="1"/>
    <col min="10245" max="10245" width="79.42578125" style="32" customWidth="1"/>
    <col min="10246" max="10246" width="11.5703125" style="32" customWidth="1"/>
    <col min="10247" max="10247" width="15.140625" style="32" bestFit="1" customWidth="1"/>
    <col min="10248" max="10251" width="11" style="32" customWidth="1"/>
    <col min="10252" max="10252" width="86.7109375" style="32" bestFit="1" customWidth="1"/>
    <col min="10253" max="10253" width="47.5703125" style="32" customWidth="1"/>
    <col min="10254" max="10498" width="9.140625" style="32"/>
    <col min="10499" max="10499" width="10.85546875" style="32" bestFit="1" customWidth="1"/>
    <col min="10500" max="10500" width="4.5703125" style="32" bestFit="1" customWidth="1"/>
    <col min="10501" max="10501" width="79.42578125" style="32" customWidth="1"/>
    <col min="10502" max="10502" width="11.5703125" style="32" customWidth="1"/>
    <col min="10503" max="10503" width="15.140625" style="32" bestFit="1" customWidth="1"/>
    <col min="10504" max="10507" width="11" style="32" customWidth="1"/>
    <col min="10508" max="10508" width="86.7109375" style="32" bestFit="1" customWidth="1"/>
    <col min="10509" max="10509" width="47.5703125" style="32" customWidth="1"/>
    <col min="10510" max="10754" width="9.140625" style="32"/>
    <col min="10755" max="10755" width="10.85546875" style="32" bestFit="1" customWidth="1"/>
    <col min="10756" max="10756" width="4.5703125" style="32" bestFit="1" customWidth="1"/>
    <col min="10757" max="10757" width="79.42578125" style="32" customWidth="1"/>
    <col min="10758" max="10758" width="11.5703125" style="32" customWidth="1"/>
    <col min="10759" max="10759" width="15.140625" style="32" bestFit="1" customWidth="1"/>
    <col min="10760" max="10763" width="11" style="32" customWidth="1"/>
    <col min="10764" max="10764" width="86.7109375" style="32" bestFit="1" customWidth="1"/>
    <col min="10765" max="10765" width="47.5703125" style="32" customWidth="1"/>
    <col min="10766" max="11010" width="9.140625" style="32"/>
    <col min="11011" max="11011" width="10.85546875" style="32" bestFit="1" customWidth="1"/>
    <col min="11012" max="11012" width="4.5703125" style="32" bestFit="1" customWidth="1"/>
    <col min="11013" max="11013" width="79.42578125" style="32" customWidth="1"/>
    <col min="11014" max="11014" width="11.5703125" style="32" customWidth="1"/>
    <col min="11015" max="11015" width="15.140625" style="32" bestFit="1" customWidth="1"/>
    <col min="11016" max="11019" width="11" style="32" customWidth="1"/>
    <col min="11020" max="11020" width="86.7109375" style="32" bestFit="1" customWidth="1"/>
    <col min="11021" max="11021" width="47.5703125" style="32" customWidth="1"/>
    <col min="11022" max="11266" width="9.140625" style="32"/>
    <col min="11267" max="11267" width="10.85546875" style="32" bestFit="1" customWidth="1"/>
    <col min="11268" max="11268" width="4.5703125" style="32" bestFit="1" customWidth="1"/>
    <col min="11269" max="11269" width="79.42578125" style="32" customWidth="1"/>
    <col min="11270" max="11270" width="11.5703125" style="32" customWidth="1"/>
    <col min="11271" max="11271" width="15.140625" style="32" bestFit="1" customWidth="1"/>
    <col min="11272" max="11275" width="11" style="32" customWidth="1"/>
    <col min="11276" max="11276" width="86.7109375" style="32" bestFit="1" customWidth="1"/>
    <col min="11277" max="11277" width="47.5703125" style="32" customWidth="1"/>
    <col min="11278" max="11522" width="9.140625" style="32"/>
    <col min="11523" max="11523" width="10.85546875" style="32" bestFit="1" customWidth="1"/>
    <col min="11524" max="11524" width="4.5703125" style="32" bestFit="1" customWidth="1"/>
    <col min="11525" max="11525" width="79.42578125" style="32" customWidth="1"/>
    <col min="11526" max="11526" width="11.5703125" style="32" customWidth="1"/>
    <col min="11527" max="11527" width="15.140625" style="32" bestFit="1" customWidth="1"/>
    <col min="11528" max="11531" width="11" style="32" customWidth="1"/>
    <col min="11532" max="11532" width="86.7109375" style="32" bestFit="1" customWidth="1"/>
    <col min="11533" max="11533" width="47.5703125" style="32" customWidth="1"/>
    <col min="11534" max="11778" width="9.140625" style="32"/>
    <col min="11779" max="11779" width="10.85546875" style="32" bestFit="1" customWidth="1"/>
    <col min="11780" max="11780" width="4.5703125" style="32" bestFit="1" customWidth="1"/>
    <col min="11781" max="11781" width="79.42578125" style="32" customWidth="1"/>
    <col min="11782" max="11782" width="11.5703125" style="32" customWidth="1"/>
    <col min="11783" max="11783" width="15.140625" style="32" bestFit="1" customWidth="1"/>
    <col min="11784" max="11787" width="11" style="32" customWidth="1"/>
    <col min="11788" max="11788" width="86.7109375" style="32" bestFit="1" customWidth="1"/>
    <col min="11789" max="11789" width="47.5703125" style="32" customWidth="1"/>
    <col min="11790" max="12034" width="9.140625" style="32"/>
    <col min="12035" max="12035" width="10.85546875" style="32" bestFit="1" customWidth="1"/>
    <col min="12036" max="12036" width="4.5703125" style="32" bestFit="1" customWidth="1"/>
    <col min="12037" max="12037" width="79.42578125" style="32" customWidth="1"/>
    <col min="12038" max="12038" width="11.5703125" style="32" customWidth="1"/>
    <col min="12039" max="12039" width="15.140625" style="32" bestFit="1" customWidth="1"/>
    <col min="12040" max="12043" width="11" style="32" customWidth="1"/>
    <col min="12044" max="12044" width="86.7109375" style="32" bestFit="1" customWidth="1"/>
    <col min="12045" max="12045" width="47.5703125" style="32" customWidth="1"/>
    <col min="12046" max="12290" width="9.140625" style="32"/>
    <col min="12291" max="12291" width="10.85546875" style="32" bestFit="1" customWidth="1"/>
    <col min="12292" max="12292" width="4.5703125" style="32" bestFit="1" customWidth="1"/>
    <col min="12293" max="12293" width="79.42578125" style="32" customWidth="1"/>
    <col min="12294" max="12294" width="11.5703125" style="32" customWidth="1"/>
    <col min="12295" max="12295" width="15.140625" style="32" bestFit="1" customWidth="1"/>
    <col min="12296" max="12299" width="11" style="32" customWidth="1"/>
    <col min="12300" max="12300" width="86.7109375" style="32" bestFit="1" customWidth="1"/>
    <col min="12301" max="12301" width="47.5703125" style="32" customWidth="1"/>
    <col min="12302" max="12546" width="9.140625" style="32"/>
    <col min="12547" max="12547" width="10.85546875" style="32" bestFit="1" customWidth="1"/>
    <col min="12548" max="12548" width="4.5703125" style="32" bestFit="1" customWidth="1"/>
    <col min="12549" max="12549" width="79.42578125" style="32" customWidth="1"/>
    <col min="12550" max="12550" width="11.5703125" style="32" customWidth="1"/>
    <col min="12551" max="12551" width="15.140625" style="32" bestFit="1" customWidth="1"/>
    <col min="12552" max="12555" width="11" style="32" customWidth="1"/>
    <col min="12556" max="12556" width="86.7109375" style="32" bestFit="1" customWidth="1"/>
    <col min="12557" max="12557" width="47.5703125" style="32" customWidth="1"/>
    <col min="12558" max="12802" width="9.140625" style="32"/>
    <col min="12803" max="12803" width="10.85546875" style="32" bestFit="1" customWidth="1"/>
    <col min="12804" max="12804" width="4.5703125" style="32" bestFit="1" customWidth="1"/>
    <col min="12805" max="12805" width="79.42578125" style="32" customWidth="1"/>
    <col min="12806" max="12806" width="11.5703125" style="32" customWidth="1"/>
    <col min="12807" max="12807" width="15.140625" style="32" bestFit="1" customWidth="1"/>
    <col min="12808" max="12811" width="11" style="32" customWidth="1"/>
    <col min="12812" max="12812" width="86.7109375" style="32" bestFit="1" customWidth="1"/>
    <col min="12813" max="12813" width="47.5703125" style="32" customWidth="1"/>
    <col min="12814" max="13058" width="9.140625" style="32"/>
    <col min="13059" max="13059" width="10.85546875" style="32" bestFit="1" customWidth="1"/>
    <col min="13060" max="13060" width="4.5703125" style="32" bestFit="1" customWidth="1"/>
    <col min="13061" max="13061" width="79.42578125" style="32" customWidth="1"/>
    <col min="13062" max="13062" width="11.5703125" style="32" customWidth="1"/>
    <col min="13063" max="13063" width="15.140625" style="32" bestFit="1" customWidth="1"/>
    <col min="13064" max="13067" width="11" style="32" customWidth="1"/>
    <col min="13068" max="13068" width="86.7109375" style="32" bestFit="1" customWidth="1"/>
    <col min="13069" max="13069" width="47.5703125" style="32" customWidth="1"/>
    <col min="13070" max="13314" width="9.140625" style="32"/>
    <col min="13315" max="13315" width="10.85546875" style="32" bestFit="1" customWidth="1"/>
    <col min="13316" max="13316" width="4.5703125" style="32" bestFit="1" customWidth="1"/>
    <col min="13317" max="13317" width="79.42578125" style="32" customWidth="1"/>
    <col min="13318" max="13318" width="11.5703125" style="32" customWidth="1"/>
    <col min="13319" max="13319" width="15.140625" style="32" bestFit="1" customWidth="1"/>
    <col min="13320" max="13323" width="11" style="32" customWidth="1"/>
    <col min="13324" max="13324" width="86.7109375" style="32" bestFit="1" customWidth="1"/>
    <col min="13325" max="13325" width="47.5703125" style="32" customWidth="1"/>
    <col min="13326" max="13570" width="9.140625" style="32"/>
    <col min="13571" max="13571" width="10.85546875" style="32" bestFit="1" customWidth="1"/>
    <col min="13572" max="13572" width="4.5703125" style="32" bestFit="1" customWidth="1"/>
    <col min="13573" max="13573" width="79.42578125" style="32" customWidth="1"/>
    <col min="13574" max="13574" width="11.5703125" style="32" customWidth="1"/>
    <col min="13575" max="13575" width="15.140625" style="32" bestFit="1" customWidth="1"/>
    <col min="13576" max="13579" width="11" style="32" customWidth="1"/>
    <col min="13580" max="13580" width="86.7109375" style="32" bestFit="1" customWidth="1"/>
    <col min="13581" max="13581" width="47.5703125" style="32" customWidth="1"/>
    <col min="13582" max="13826" width="9.140625" style="32"/>
    <col min="13827" max="13827" width="10.85546875" style="32" bestFit="1" customWidth="1"/>
    <col min="13828" max="13828" width="4.5703125" style="32" bestFit="1" customWidth="1"/>
    <col min="13829" max="13829" width="79.42578125" style="32" customWidth="1"/>
    <col min="13830" max="13830" width="11.5703125" style="32" customWidth="1"/>
    <col min="13831" max="13831" width="15.140625" style="32" bestFit="1" customWidth="1"/>
    <col min="13832" max="13835" width="11" style="32" customWidth="1"/>
    <col min="13836" max="13836" width="86.7109375" style="32" bestFit="1" customWidth="1"/>
    <col min="13837" max="13837" width="47.5703125" style="32" customWidth="1"/>
    <col min="13838" max="14082" width="9.140625" style="32"/>
    <col min="14083" max="14083" width="10.85546875" style="32" bestFit="1" customWidth="1"/>
    <col min="14084" max="14084" width="4.5703125" style="32" bestFit="1" customWidth="1"/>
    <col min="14085" max="14085" width="79.42578125" style="32" customWidth="1"/>
    <col min="14086" max="14086" width="11.5703125" style="32" customWidth="1"/>
    <col min="14087" max="14087" width="15.140625" style="32" bestFit="1" customWidth="1"/>
    <col min="14088" max="14091" width="11" style="32" customWidth="1"/>
    <col min="14092" max="14092" width="86.7109375" style="32" bestFit="1" customWidth="1"/>
    <col min="14093" max="14093" width="47.5703125" style="32" customWidth="1"/>
    <col min="14094" max="14338" width="9.140625" style="32"/>
    <col min="14339" max="14339" width="10.85546875" style="32" bestFit="1" customWidth="1"/>
    <col min="14340" max="14340" width="4.5703125" style="32" bestFit="1" customWidth="1"/>
    <col min="14341" max="14341" width="79.42578125" style="32" customWidth="1"/>
    <col min="14342" max="14342" width="11.5703125" style="32" customWidth="1"/>
    <col min="14343" max="14343" width="15.140625" style="32" bestFit="1" customWidth="1"/>
    <col min="14344" max="14347" width="11" style="32" customWidth="1"/>
    <col min="14348" max="14348" width="86.7109375" style="32" bestFit="1" customWidth="1"/>
    <col min="14349" max="14349" width="47.5703125" style="32" customWidth="1"/>
    <col min="14350" max="14594" width="9.140625" style="32"/>
    <col min="14595" max="14595" width="10.85546875" style="32" bestFit="1" customWidth="1"/>
    <col min="14596" max="14596" width="4.5703125" style="32" bestFit="1" customWidth="1"/>
    <col min="14597" max="14597" width="79.42578125" style="32" customWidth="1"/>
    <col min="14598" max="14598" width="11.5703125" style="32" customWidth="1"/>
    <col min="14599" max="14599" width="15.140625" style="32" bestFit="1" customWidth="1"/>
    <col min="14600" max="14603" width="11" style="32" customWidth="1"/>
    <col min="14604" max="14604" width="86.7109375" style="32" bestFit="1" customWidth="1"/>
    <col min="14605" max="14605" width="47.5703125" style="32" customWidth="1"/>
    <col min="14606" max="14850" width="9.140625" style="32"/>
    <col min="14851" max="14851" width="10.85546875" style="32" bestFit="1" customWidth="1"/>
    <col min="14852" max="14852" width="4.5703125" style="32" bestFit="1" customWidth="1"/>
    <col min="14853" max="14853" width="79.42578125" style="32" customWidth="1"/>
    <col min="14854" max="14854" width="11.5703125" style="32" customWidth="1"/>
    <col min="14855" max="14855" width="15.140625" style="32" bestFit="1" customWidth="1"/>
    <col min="14856" max="14859" width="11" style="32" customWidth="1"/>
    <col min="14860" max="14860" width="86.7109375" style="32" bestFit="1" customWidth="1"/>
    <col min="14861" max="14861" width="47.5703125" style="32" customWidth="1"/>
    <col min="14862" max="15106" width="9.140625" style="32"/>
    <col min="15107" max="15107" width="10.85546875" style="32" bestFit="1" customWidth="1"/>
    <col min="15108" max="15108" width="4.5703125" style="32" bestFit="1" customWidth="1"/>
    <col min="15109" max="15109" width="79.42578125" style="32" customWidth="1"/>
    <col min="15110" max="15110" width="11.5703125" style="32" customWidth="1"/>
    <col min="15111" max="15111" width="15.140625" style="32" bestFit="1" customWidth="1"/>
    <col min="15112" max="15115" width="11" style="32" customWidth="1"/>
    <col min="15116" max="15116" width="86.7109375" style="32" bestFit="1" customWidth="1"/>
    <col min="15117" max="15117" width="47.5703125" style="32" customWidth="1"/>
    <col min="15118" max="15362" width="9.140625" style="32"/>
    <col min="15363" max="15363" width="10.85546875" style="32" bestFit="1" customWidth="1"/>
    <col min="15364" max="15364" width="4.5703125" style="32" bestFit="1" customWidth="1"/>
    <col min="15365" max="15365" width="79.42578125" style="32" customWidth="1"/>
    <col min="15366" max="15366" width="11.5703125" style="32" customWidth="1"/>
    <col min="15367" max="15367" width="15.140625" style="32" bestFit="1" customWidth="1"/>
    <col min="15368" max="15371" width="11" style="32" customWidth="1"/>
    <col min="15372" max="15372" width="86.7109375" style="32" bestFit="1" customWidth="1"/>
    <col min="15373" max="15373" width="47.5703125" style="32" customWidth="1"/>
    <col min="15374" max="15618" width="9.140625" style="32"/>
    <col min="15619" max="15619" width="10.85546875" style="32" bestFit="1" customWidth="1"/>
    <col min="15620" max="15620" width="4.5703125" style="32" bestFit="1" customWidth="1"/>
    <col min="15621" max="15621" width="79.42578125" style="32" customWidth="1"/>
    <col min="15622" max="15622" width="11.5703125" style="32" customWidth="1"/>
    <col min="15623" max="15623" width="15.140625" style="32" bestFit="1" customWidth="1"/>
    <col min="15624" max="15627" width="11" style="32" customWidth="1"/>
    <col min="15628" max="15628" width="86.7109375" style="32" bestFit="1" customWidth="1"/>
    <col min="15629" max="15629" width="47.5703125" style="32" customWidth="1"/>
    <col min="15630" max="15874" width="9.140625" style="32"/>
    <col min="15875" max="15875" width="10.85546875" style="32" bestFit="1" customWidth="1"/>
    <col min="15876" max="15876" width="4.5703125" style="32" bestFit="1" customWidth="1"/>
    <col min="15877" max="15877" width="79.42578125" style="32" customWidth="1"/>
    <col min="15878" max="15878" width="11.5703125" style="32" customWidth="1"/>
    <col min="15879" max="15879" width="15.140625" style="32" bestFit="1" customWidth="1"/>
    <col min="15880" max="15883" width="11" style="32" customWidth="1"/>
    <col min="15884" max="15884" width="86.7109375" style="32" bestFit="1" customWidth="1"/>
    <col min="15885" max="15885" width="47.5703125" style="32" customWidth="1"/>
    <col min="15886" max="16130" width="9.140625" style="32"/>
    <col min="16131" max="16131" width="10.85546875" style="32" bestFit="1" customWidth="1"/>
    <col min="16132" max="16132" width="4.5703125" style="32" bestFit="1" customWidth="1"/>
    <col min="16133" max="16133" width="79.42578125" style="32" customWidth="1"/>
    <col min="16134" max="16134" width="11.5703125" style="32" customWidth="1"/>
    <col min="16135" max="16135" width="15.140625" style="32" bestFit="1" customWidth="1"/>
    <col min="16136" max="16139" width="11" style="32" customWidth="1"/>
    <col min="16140" max="16140" width="86.7109375" style="32" bestFit="1" customWidth="1"/>
    <col min="16141" max="16141" width="47.5703125" style="32" customWidth="1"/>
    <col min="16142" max="16384" width="9.140625" style="32"/>
  </cols>
  <sheetData>
    <row r="2" spans="1:12" ht="17.25" customHeight="1">
      <c r="A2" s="281" t="s">
        <v>257</v>
      </c>
      <c r="B2" s="283">
        <v>22</v>
      </c>
      <c r="C2" s="284" t="s">
        <v>258</v>
      </c>
      <c r="D2" s="285"/>
      <c r="E2" s="125" t="s">
        <v>259</v>
      </c>
      <c r="F2" s="125" t="s">
        <v>260</v>
      </c>
      <c r="G2" s="127" t="s">
        <v>261</v>
      </c>
      <c r="H2" s="124" t="s">
        <v>262</v>
      </c>
      <c r="I2" s="124" t="s">
        <v>263</v>
      </c>
      <c r="J2" s="124" t="s">
        <v>264</v>
      </c>
      <c r="K2" s="124" t="s">
        <v>265</v>
      </c>
      <c r="L2" s="125" t="s">
        <v>266</v>
      </c>
    </row>
    <row r="3" spans="1:12" ht="17.25" customHeight="1">
      <c r="A3" s="282"/>
      <c r="B3" s="283"/>
      <c r="C3" s="33">
        <v>1</v>
      </c>
      <c r="D3" s="34" t="s">
        <v>267</v>
      </c>
      <c r="E3" s="35">
        <f>8*3</f>
        <v>24</v>
      </c>
      <c r="F3" s="33" t="s">
        <v>268</v>
      </c>
      <c r="G3" s="35">
        <f>8*3</f>
        <v>24</v>
      </c>
      <c r="H3" s="35"/>
      <c r="I3" s="35"/>
      <c r="J3" s="35"/>
      <c r="K3" s="35"/>
    </row>
    <row r="4" spans="1:12" ht="17.25" customHeight="1">
      <c r="A4" s="282"/>
      <c r="B4" s="283"/>
      <c r="C4" s="33">
        <v>2</v>
      </c>
      <c r="D4" s="132" t="s">
        <v>269</v>
      </c>
      <c r="E4" s="35">
        <f>72*1</f>
        <v>72</v>
      </c>
      <c r="F4" s="33" t="s">
        <v>268</v>
      </c>
      <c r="G4" s="35">
        <f>72*1</f>
        <v>72</v>
      </c>
      <c r="H4" s="35"/>
      <c r="I4" s="35"/>
      <c r="J4" s="35"/>
      <c r="K4" s="35"/>
    </row>
    <row r="5" spans="1:12" ht="17.25" customHeight="1">
      <c r="A5" s="282"/>
      <c r="B5" s="283"/>
      <c r="C5" s="33">
        <v>3</v>
      </c>
      <c r="D5" s="132" t="s">
        <v>270</v>
      </c>
      <c r="E5" s="35">
        <f>7.2*1</f>
        <v>7.2</v>
      </c>
      <c r="F5" s="33" t="s">
        <v>268</v>
      </c>
      <c r="G5" s="35">
        <f>7.2*1</f>
        <v>7.2</v>
      </c>
      <c r="H5" s="35"/>
      <c r="I5" s="35"/>
      <c r="J5" s="35"/>
      <c r="K5" s="35"/>
    </row>
    <row r="6" spans="1:12" ht="17.25" customHeight="1">
      <c r="A6" s="282"/>
      <c r="B6" s="283"/>
      <c r="C6" s="33">
        <v>4</v>
      </c>
      <c r="D6" s="132" t="s">
        <v>271</v>
      </c>
      <c r="E6" s="35">
        <f>7.2*1</f>
        <v>7.2</v>
      </c>
      <c r="F6" s="33" t="s">
        <v>268</v>
      </c>
      <c r="G6" s="35">
        <f>7.2*1</f>
        <v>7.2</v>
      </c>
      <c r="H6" s="35"/>
      <c r="I6" s="35"/>
      <c r="J6" s="35"/>
      <c r="K6" s="35"/>
    </row>
    <row r="7" spans="1:12" ht="17.25" customHeight="1">
      <c r="A7" s="282"/>
      <c r="B7" s="283"/>
      <c r="C7" s="33">
        <v>5</v>
      </c>
      <c r="D7" s="132" t="s">
        <v>272</v>
      </c>
      <c r="E7" s="35">
        <v>100</v>
      </c>
      <c r="F7" s="33" t="s">
        <v>268</v>
      </c>
      <c r="G7" s="35">
        <v>100</v>
      </c>
      <c r="H7" s="35"/>
      <c r="I7" s="35"/>
      <c r="J7" s="35"/>
      <c r="K7" s="35"/>
      <c r="L7" s="223" t="s">
        <v>273</v>
      </c>
    </row>
    <row r="8" spans="1:12" ht="17.25" customHeight="1">
      <c r="A8" s="282"/>
      <c r="B8" s="283"/>
      <c r="C8" s="33">
        <v>6</v>
      </c>
      <c r="D8" s="132" t="s">
        <v>274</v>
      </c>
      <c r="E8" s="35">
        <f>8*2</f>
        <v>16</v>
      </c>
      <c r="F8" s="33" t="s">
        <v>268</v>
      </c>
      <c r="G8" s="35">
        <f>8*2</f>
        <v>16</v>
      </c>
      <c r="H8" s="35"/>
      <c r="I8" s="35"/>
      <c r="J8" s="35"/>
      <c r="K8" s="35"/>
    </row>
    <row r="9" spans="1:12" ht="17.25" customHeight="1">
      <c r="A9" s="282"/>
      <c r="B9" s="283"/>
      <c r="C9" s="33">
        <v>7</v>
      </c>
      <c r="D9" s="132" t="s">
        <v>275</v>
      </c>
      <c r="E9" s="35">
        <f>18*40</f>
        <v>720</v>
      </c>
      <c r="F9" s="33" t="s">
        <v>268</v>
      </c>
      <c r="G9" s="35">
        <f>18*40</f>
        <v>720</v>
      </c>
      <c r="H9" s="35"/>
      <c r="I9" s="35"/>
      <c r="J9" s="35"/>
      <c r="K9" s="35"/>
      <c r="L9" s="32" t="s">
        <v>276</v>
      </c>
    </row>
    <row r="10" spans="1:12" ht="17.25" customHeight="1">
      <c r="A10" s="282"/>
      <c r="B10" s="283"/>
      <c r="C10" s="33">
        <v>8</v>
      </c>
      <c r="D10" s="34" t="s">
        <v>277</v>
      </c>
      <c r="E10" s="35">
        <v>555</v>
      </c>
      <c r="F10" s="33" t="s">
        <v>278</v>
      </c>
      <c r="G10" s="189" t="s">
        <v>279</v>
      </c>
      <c r="H10" s="35"/>
      <c r="I10" s="35"/>
      <c r="J10" s="35"/>
      <c r="K10" s="35"/>
      <c r="L10" s="32" t="s">
        <v>280</v>
      </c>
    </row>
    <row r="11" spans="1:12" ht="17.25" customHeight="1">
      <c r="A11" s="282"/>
      <c r="B11" s="283"/>
      <c r="C11" s="33">
        <v>9</v>
      </c>
      <c r="D11" s="224" t="s">
        <v>281</v>
      </c>
      <c r="E11" s="35">
        <v>32</v>
      </c>
      <c r="F11" s="186" t="s">
        <v>282</v>
      </c>
      <c r="G11" s="35">
        <v>32</v>
      </c>
      <c r="H11" s="35"/>
      <c r="I11" s="35"/>
      <c r="J11" s="35"/>
      <c r="K11" s="35"/>
    </row>
    <row r="12" spans="1:12" ht="17.25" customHeight="1">
      <c r="A12" s="282"/>
      <c r="B12" s="283"/>
      <c r="C12" s="33">
        <v>10</v>
      </c>
      <c r="D12" s="224" t="s">
        <v>283</v>
      </c>
      <c r="E12" s="35">
        <v>10</v>
      </c>
      <c r="F12" s="186" t="s">
        <v>282</v>
      </c>
      <c r="G12" s="35">
        <v>10</v>
      </c>
      <c r="H12" s="35"/>
      <c r="I12" s="35"/>
      <c r="J12" s="35"/>
      <c r="K12" s="35"/>
    </row>
    <row r="13" spans="1:12" ht="17.25" customHeight="1">
      <c r="A13" s="282"/>
      <c r="B13" s="283"/>
      <c r="C13" s="33">
        <v>11</v>
      </c>
      <c r="D13" s="34" t="s">
        <v>284</v>
      </c>
      <c r="E13" s="35">
        <v>11</v>
      </c>
      <c r="F13" s="33" t="s">
        <v>285</v>
      </c>
      <c r="G13" s="35">
        <v>11</v>
      </c>
      <c r="H13" s="35"/>
      <c r="I13" s="35"/>
      <c r="J13" s="35"/>
      <c r="K13" s="35"/>
      <c r="L13" s="36" t="s">
        <v>286</v>
      </c>
    </row>
    <row r="14" spans="1:12" ht="17.25" customHeight="1">
      <c r="A14" s="282"/>
      <c r="B14" s="283"/>
      <c r="C14" s="33">
        <v>12</v>
      </c>
      <c r="D14" s="34" t="s">
        <v>287</v>
      </c>
      <c r="E14" s="35">
        <v>101</v>
      </c>
      <c r="F14" s="33" t="s">
        <v>278</v>
      </c>
      <c r="G14" s="189" t="s">
        <v>288</v>
      </c>
      <c r="H14" s="35"/>
      <c r="I14" s="35"/>
      <c r="J14" s="35"/>
      <c r="K14" s="35"/>
      <c r="L14" s="32" t="s">
        <v>289</v>
      </c>
    </row>
    <row r="15" spans="1:12" ht="17.25" customHeight="1">
      <c r="A15" s="282"/>
      <c r="B15" s="283"/>
      <c r="C15" s="33">
        <v>13</v>
      </c>
      <c r="D15" s="34" t="s">
        <v>290</v>
      </c>
      <c r="E15" s="35">
        <v>283</v>
      </c>
      <c r="F15" s="33" t="s">
        <v>278</v>
      </c>
      <c r="G15" s="189" t="s">
        <v>291</v>
      </c>
      <c r="H15" s="35"/>
      <c r="I15" s="35"/>
      <c r="K15" s="190"/>
      <c r="L15" s="32" t="s">
        <v>292</v>
      </c>
    </row>
    <row r="16" spans="1:12" ht="17.25" customHeight="1">
      <c r="A16" s="282"/>
      <c r="B16" s="283"/>
      <c r="C16" s="33">
        <v>14</v>
      </c>
      <c r="D16" s="34" t="s">
        <v>293</v>
      </c>
      <c r="E16" s="35">
        <v>504</v>
      </c>
      <c r="F16" s="33" t="s">
        <v>278</v>
      </c>
      <c r="G16" s="189" t="s">
        <v>294</v>
      </c>
      <c r="H16" s="35"/>
      <c r="J16" s="191"/>
      <c r="K16" s="35"/>
      <c r="L16" s="32" t="s">
        <v>295</v>
      </c>
    </row>
    <row r="17" spans="1:12" ht="17.25" customHeight="1">
      <c r="A17" s="282"/>
      <c r="B17" s="283"/>
      <c r="C17" s="33">
        <v>15</v>
      </c>
      <c r="D17" s="34" t="s">
        <v>296</v>
      </c>
      <c r="E17" s="35">
        <v>450</v>
      </c>
      <c r="F17" s="33" t="s">
        <v>278</v>
      </c>
      <c r="G17" s="189" t="s">
        <v>297</v>
      </c>
      <c r="H17" s="35"/>
      <c r="I17" s="35"/>
      <c r="J17" s="35"/>
      <c r="K17" s="35"/>
      <c r="L17" s="32" t="s">
        <v>298</v>
      </c>
    </row>
    <row r="18" spans="1:12" ht="17.25" customHeight="1">
      <c r="A18" s="282"/>
      <c r="B18" s="283"/>
      <c r="C18" s="33">
        <v>16</v>
      </c>
      <c r="D18" s="34" t="s">
        <v>299</v>
      </c>
      <c r="E18" s="35">
        <v>300</v>
      </c>
      <c r="F18" s="33" t="s">
        <v>282</v>
      </c>
      <c r="G18" s="35">
        <v>120</v>
      </c>
      <c r="H18" s="35"/>
      <c r="I18" s="35"/>
      <c r="J18" s="35"/>
      <c r="K18" s="35"/>
      <c r="L18" s="192"/>
    </row>
    <row r="19" spans="1:12" ht="17.25" customHeight="1">
      <c r="A19" s="282"/>
      <c r="B19" s="283"/>
      <c r="C19" s="253">
        <v>17</v>
      </c>
      <c r="D19" s="257" t="s">
        <v>300</v>
      </c>
      <c r="E19" s="256">
        <v>0</v>
      </c>
      <c r="F19" s="253" t="s">
        <v>301</v>
      </c>
      <c r="G19" s="255">
        <v>600</v>
      </c>
      <c r="H19" s="35"/>
      <c r="I19" s="35"/>
      <c r="J19" s="35"/>
      <c r="K19" s="35"/>
    </row>
    <row r="20" spans="1:12" ht="17.25" customHeight="1">
      <c r="A20" s="282"/>
      <c r="B20" s="283"/>
      <c r="C20" s="33"/>
      <c r="D20" s="34"/>
      <c r="E20" s="35"/>
      <c r="F20" s="33"/>
      <c r="G20" s="33"/>
      <c r="H20" s="35"/>
      <c r="I20" s="35"/>
      <c r="J20" s="35"/>
      <c r="K20" s="35"/>
    </row>
    <row r="21" spans="1:12" ht="15.75" customHeight="1">
      <c r="A21" s="282"/>
      <c r="C21" s="33"/>
      <c r="D21" s="34"/>
      <c r="E21" s="35">
        <f>SUM(E3:E20)</f>
        <v>3192.4</v>
      </c>
      <c r="F21" s="49">
        <f>E21-[5]【參考用】【各組】2025年預算編列!E14</f>
        <v>148.70000000000027</v>
      </c>
      <c r="G21" s="34"/>
      <c r="H21" s="35"/>
      <c r="I21" s="35"/>
      <c r="J21" s="35"/>
      <c r="K21" s="35"/>
    </row>
    <row r="22" spans="1:12" ht="15.75" customHeight="1">
      <c r="A22" s="282"/>
      <c r="B22" s="283">
        <v>41</v>
      </c>
      <c r="C22" s="284" t="s">
        <v>302</v>
      </c>
      <c r="D22" s="285"/>
      <c r="E22" s="125" t="s">
        <v>259</v>
      </c>
      <c r="F22" s="125" t="s">
        <v>260</v>
      </c>
      <c r="G22" s="127" t="s">
        <v>261</v>
      </c>
      <c r="H22" s="124" t="s">
        <v>262</v>
      </c>
      <c r="I22" s="124" t="s">
        <v>263</v>
      </c>
      <c r="J22" s="124" t="s">
        <v>264</v>
      </c>
      <c r="K22" s="124" t="s">
        <v>265</v>
      </c>
      <c r="L22" s="125" t="s">
        <v>266</v>
      </c>
    </row>
    <row r="23" spans="1:12" ht="15.75" customHeight="1">
      <c r="A23" s="282"/>
      <c r="B23" s="283"/>
      <c r="C23" s="33">
        <v>1</v>
      </c>
      <c r="D23" s="34" t="s">
        <v>303</v>
      </c>
      <c r="E23" s="35">
        <v>2000</v>
      </c>
      <c r="F23" s="33" t="s">
        <v>304</v>
      </c>
      <c r="G23" s="35">
        <v>1680</v>
      </c>
      <c r="H23" s="35"/>
      <c r="I23" s="35"/>
      <c r="J23" s="35"/>
      <c r="K23" s="35"/>
      <c r="L23" s="32" t="s">
        <v>305</v>
      </c>
    </row>
    <row r="24" spans="1:12" ht="15.75" customHeight="1">
      <c r="A24" s="282"/>
      <c r="B24" s="283"/>
      <c r="C24" s="253">
        <v>2</v>
      </c>
      <c r="D24" s="257" t="s">
        <v>306</v>
      </c>
      <c r="E24" s="256">
        <v>0</v>
      </c>
      <c r="F24" s="253" t="s">
        <v>304</v>
      </c>
      <c r="G24" s="255">
        <v>2000</v>
      </c>
      <c r="H24" s="35"/>
      <c r="I24" s="35"/>
      <c r="J24" s="35"/>
      <c r="K24" s="35"/>
    </row>
    <row r="25" spans="1:12" ht="15.75" customHeight="1">
      <c r="A25" s="282"/>
      <c r="B25" s="283"/>
      <c r="C25" s="33">
        <v>3</v>
      </c>
      <c r="D25" s="34" t="s">
        <v>307</v>
      </c>
      <c r="E25" s="35">
        <v>500</v>
      </c>
      <c r="F25" s="33" t="s">
        <v>308</v>
      </c>
      <c r="G25" s="35">
        <v>350</v>
      </c>
      <c r="H25" s="35"/>
      <c r="I25" s="35"/>
      <c r="J25" s="35"/>
      <c r="K25" s="35"/>
      <c r="L25" s="32" t="s">
        <v>309</v>
      </c>
    </row>
    <row r="26" spans="1:12" ht="15.75" customHeight="1">
      <c r="A26" s="282"/>
      <c r="B26" s="283"/>
      <c r="C26" s="33">
        <v>4</v>
      </c>
      <c r="D26" s="32" t="s">
        <v>310</v>
      </c>
      <c r="E26" s="35">
        <v>200</v>
      </c>
      <c r="F26" s="33" t="s">
        <v>304</v>
      </c>
      <c r="G26" s="35">
        <v>100</v>
      </c>
    </row>
    <row r="27" spans="1:12" ht="15.75" customHeight="1">
      <c r="A27" s="282"/>
      <c r="B27" s="283"/>
      <c r="C27" s="33">
        <v>5</v>
      </c>
      <c r="D27" s="32" t="s">
        <v>311</v>
      </c>
      <c r="E27" s="35">
        <v>200</v>
      </c>
      <c r="F27" s="33" t="s">
        <v>304</v>
      </c>
      <c r="G27" s="35">
        <v>100</v>
      </c>
    </row>
    <row r="28" spans="1:12" ht="15.75" customHeight="1">
      <c r="A28" s="282"/>
      <c r="B28" s="283"/>
      <c r="C28" s="33"/>
      <c r="H28" s="35"/>
      <c r="I28" s="35"/>
      <c r="J28" s="35"/>
      <c r="K28" s="35"/>
    </row>
    <row r="29" spans="1:12" ht="15.75" customHeight="1">
      <c r="A29" s="282"/>
      <c r="C29" s="33"/>
      <c r="D29" s="34"/>
      <c r="E29" s="35">
        <f>SUM(E23:E27)</f>
        <v>2900</v>
      </c>
      <c r="F29" s="49">
        <f>E29-[5]【參考用】【各組】2025年預算編列!E20</f>
        <v>-1130</v>
      </c>
      <c r="G29" s="33"/>
      <c r="H29" s="35"/>
      <c r="I29" s="35"/>
      <c r="J29" s="35"/>
      <c r="K29" s="35"/>
    </row>
    <row r="30" spans="1:12" ht="15.75" customHeight="1">
      <c r="A30" s="282"/>
      <c r="B30" s="283">
        <v>51</v>
      </c>
      <c r="C30" s="284" t="s">
        <v>312</v>
      </c>
      <c r="D30" s="285"/>
      <c r="E30" s="125" t="s">
        <v>259</v>
      </c>
      <c r="F30" s="125" t="s">
        <v>260</v>
      </c>
      <c r="G30" s="127" t="s">
        <v>261</v>
      </c>
      <c r="H30" s="124" t="s">
        <v>262</v>
      </c>
      <c r="I30" s="124" t="s">
        <v>263</v>
      </c>
      <c r="J30" s="124" t="s">
        <v>264</v>
      </c>
      <c r="K30" s="124" t="s">
        <v>265</v>
      </c>
      <c r="L30" s="125" t="s">
        <v>266</v>
      </c>
    </row>
    <row r="31" spans="1:12" ht="17.25" customHeight="1">
      <c r="A31" s="282"/>
      <c r="B31" s="283"/>
      <c r="C31" s="253">
        <v>1</v>
      </c>
      <c r="D31" s="257" t="s">
        <v>313</v>
      </c>
      <c r="E31" s="256">
        <v>2000</v>
      </c>
      <c r="F31" s="253" t="s">
        <v>314</v>
      </c>
      <c r="G31" s="255">
        <v>3000</v>
      </c>
      <c r="H31" s="35"/>
      <c r="I31" s="35"/>
      <c r="K31" s="35"/>
      <c r="L31" s="131"/>
    </row>
    <row r="32" spans="1:12" ht="15.75" customHeight="1">
      <c r="A32" s="282"/>
      <c r="B32" s="283"/>
      <c r="C32" s="33">
        <v>2</v>
      </c>
      <c r="D32" s="132" t="s">
        <v>315</v>
      </c>
      <c r="E32" s="35">
        <v>2000</v>
      </c>
      <c r="F32" s="33" t="s">
        <v>316</v>
      </c>
      <c r="G32" s="35">
        <v>2000</v>
      </c>
      <c r="H32" s="35"/>
      <c r="I32" s="35"/>
      <c r="K32" s="35"/>
    </row>
    <row r="33" spans="1:12" ht="15.75" customHeight="1">
      <c r="A33" s="282"/>
      <c r="B33" s="283"/>
      <c r="C33" s="33"/>
      <c r="D33" s="34"/>
      <c r="E33" s="35"/>
      <c r="F33" s="33"/>
      <c r="G33" s="33"/>
      <c r="H33" s="35"/>
      <c r="I33" s="35"/>
      <c r="K33" s="35"/>
    </row>
    <row r="34" spans="1:12" ht="15.75" customHeight="1">
      <c r="A34" s="282"/>
      <c r="B34" s="283"/>
      <c r="C34" s="33"/>
      <c r="D34" s="34"/>
      <c r="E34" s="35">
        <f>SUM(E31:E33)</f>
        <v>4000</v>
      </c>
      <c r="F34" s="49">
        <f>E34-[5]【參考用】【各組】2025年預算編列!E24</f>
        <v>1000</v>
      </c>
      <c r="G34" s="34"/>
      <c r="H34" s="35"/>
      <c r="I34" s="35"/>
      <c r="J34" s="35"/>
      <c r="K34" s="35"/>
    </row>
    <row r="35" spans="1:12" ht="15.75" customHeight="1">
      <c r="A35" s="282"/>
      <c r="B35" s="283"/>
      <c r="C35" s="284" t="s">
        <v>317</v>
      </c>
      <c r="D35" s="285"/>
      <c r="E35" s="125" t="s">
        <v>259</v>
      </c>
      <c r="F35" s="125" t="s">
        <v>260</v>
      </c>
      <c r="G35" s="127" t="s">
        <v>261</v>
      </c>
      <c r="H35" s="124" t="s">
        <v>262</v>
      </c>
      <c r="I35" s="124" t="s">
        <v>263</v>
      </c>
      <c r="J35" s="124" t="s">
        <v>264</v>
      </c>
      <c r="K35" s="124" t="s">
        <v>265</v>
      </c>
      <c r="L35" s="125" t="s">
        <v>266</v>
      </c>
    </row>
    <row r="36" spans="1:12" ht="15.75" customHeight="1">
      <c r="A36" s="282"/>
      <c r="B36" s="283"/>
      <c r="C36" s="33">
        <v>1</v>
      </c>
      <c r="D36" s="34" t="s">
        <v>318</v>
      </c>
      <c r="E36" s="35">
        <v>750</v>
      </c>
      <c r="F36" s="33" t="s">
        <v>319</v>
      </c>
      <c r="G36" s="35">
        <v>500</v>
      </c>
      <c r="H36" s="35"/>
      <c r="I36" s="35"/>
      <c r="K36" s="35"/>
      <c r="L36" s="192"/>
    </row>
    <row r="37" spans="1:12" ht="15.75" customHeight="1">
      <c r="A37" s="282"/>
      <c r="B37" s="283"/>
      <c r="C37" s="33">
        <v>2</v>
      </c>
      <c r="D37" s="34" t="s">
        <v>320</v>
      </c>
      <c r="E37" s="35">
        <v>500</v>
      </c>
      <c r="F37" s="33" t="s">
        <v>321</v>
      </c>
      <c r="G37" s="35">
        <v>300</v>
      </c>
      <c r="H37" s="35"/>
      <c r="I37" s="35"/>
      <c r="K37" s="35"/>
    </row>
    <row r="38" spans="1:12" ht="15.75" customHeight="1">
      <c r="A38" s="282"/>
      <c r="B38" s="283"/>
      <c r="C38" s="33">
        <v>3</v>
      </c>
      <c r="D38" s="193" t="s">
        <v>322</v>
      </c>
      <c r="E38" s="35">
        <v>300</v>
      </c>
      <c r="F38" s="33" t="s">
        <v>268</v>
      </c>
      <c r="G38" s="35">
        <v>300</v>
      </c>
      <c r="H38" s="35"/>
      <c r="I38" s="35"/>
      <c r="K38" s="35"/>
    </row>
    <row r="39" spans="1:12" ht="15.75" customHeight="1">
      <c r="A39" s="282"/>
      <c r="B39" s="283"/>
      <c r="C39" s="253">
        <v>4</v>
      </c>
      <c r="D39" s="254" t="s">
        <v>323</v>
      </c>
      <c r="E39" s="256">
        <v>1300</v>
      </c>
      <c r="F39" s="253" t="s">
        <v>268</v>
      </c>
      <c r="G39" s="255">
        <v>1500</v>
      </c>
      <c r="H39" s="35"/>
      <c r="I39" s="35"/>
      <c r="K39" s="35"/>
    </row>
    <row r="40" spans="1:12" ht="15.75" customHeight="1">
      <c r="A40" s="282"/>
      <c r="B40" s="283"/>
      <c r="C40" s="128">
        <v>5</v>
      </c>
      <c r="D40" s="129" t="s">
        <v>324</v>
      </c>
      <c r="E40" s="130">
        <v>0</v>
      </c>
      <c r="F40" s="128" t="s">
        <v>325</v>
      </c>
      <c r="G40" s="130">
        <v>10000</v>
      </c>
      <c r="H40" s="130"/>
      <c r="I40" s="130"/>
      <c r="J40" s="199"/>
      <c r="K40" s="130"/>
      <c r="L40" s="199" t="s">
        <v>326</v>
      </c>
    </row>
    <row r="41" spans="1:12" ht="15.75" customHeight="1">
      <c r="A41" s="282"/>
      <c r="B41" s="283"/>
      <c r="C41" s="33">
        <v>6</v>
      </c>
      <c r="D41" s="193" t="s">
        <v>327</v>
      </c>
      <c r="E41" s="35">
        <v>180</v>
      </c>
      <c r="F41" s="33" t="s">
        <v>268</v>
      </c>
      <c r="G41" s="35">
        <v>180</v>
      </c>
      <c r="L41" s="34" t="s">
        <v>328</v>
      </c>
    </row>
    <row r="42" spans="1:12" ht="15.75" customHeight="1">
      <c r="A42" s="282"/>
      <c r="B42" s="283"/>
      <c r="C42" s="33">
        <v>7</v>
      </c>
      <c r="D42" s="34" t="s">
        <v>329</v>
      </c>
      <c r="E42" s="35">
        <v>654</v>
      </c>
      <c r="F42" s="33" t="s">
        <v>278</v>
      </c>
      <c r="G42" s="35">
        <v>480</v>
      </c>
      <c r="J42" s="191"/>
      <c r="K42" s="35"/>
      <c r="L42" s="32" t="s">
        <v>330</v>
      </c>
    </row>
    <row r="43" spans="1:12" ht="15.75" customHeight="1">
      <c r="A43" s="282"/>
      <c r="B43" s="283"/>
      <c r="C43" s="33">
        <v>8</v>
      </c>
      <c r="D43" s="34" t="s">
        <v>331</v>
      </c>
      <c r="E43" s="35">
        <v>300</v>
      </c>
      <c r="F43" s="33" t="s">
        <v>332</v>
      </c>
      <c r="G43" s="35">
        <v>200</v>
      </c>
      <c r="H43" s="35"/>
      <c r="I43" s="35"/>
      <c r="J43" s="35"/>
      <c r="K43" s="35"/>
      <c r="L43" s="32" t="s">
        <v>333</v>
      </c>
    </row>
    <row r="44" spans="1:12" ht="15.75" customHeight="1">
      <c r="A44" s="282"/>
      <c r="B44" s="283"/>
      <c r="C44" s="33">
        <v>9</v>
      </c>
      <c r="D44" s="34" t="s">
        <v>334</v>
      </c>
      <c r="E44" s="35">
        <v>100</v>
      </c>
      <c r="F44" s="33" t="s">
        <v>316</v>
      </c>
      <c r="G44" s="35">
        <v>100</v>
      </c>
      <c r="H44" s="35"/>
      <c r="I44" s="35"/>
      <c r="J44" s="35"/>
      <c r="K44" s="35"/>
    </row>
    <row r="45" spans="1:12" ht="15.75" customHeight="1">
      <c r="A45" s="282"/>
      <c r="B45" s="283"/>
      <c r="C45" s="33"/>
    </row>
    <row r="46" spans="1:12" ht="15.75" customHeight="1">
      <c r="A46" s="282"/>
      <c r="C46" s="33"/>
      <c r="D46" s="36"/>
      <c r="E46" s="35">
        <f>SUM(E36:E44)</f>
        <v>4084</v>
      </c>
      <c r="F46" s="49">
        <f>E46-[5]【參考用】【各組】2025年預算編列!E35</f>
        <v>764</v>
      </c>
      <c r="G46" s="36"/>
      <c r="H46" s="36"/>
      <c r="I46" s="36"/>
      <c r="J46" s="36"/>
      <c r="K46" s="36"/>
    </row>
    <row r="47" spans="1:12" ht="18.75" customHeight="1">
      <c r="A47" s="282"/>
      <c r="B47" s="37" t="s">
        <v>335</v>
      </c>
      <c r="C47" s="37"/>
      <c r="D47" s="38"/>
      <c r="E47" s="39">
        <f>SUM(E21,E29,E34,E46)</f>
        <v>14176.4</v>
      </c>
      <c r="F47" s="194"/>
      <c r="G47" s="38"/>
      <c r="H47" s="39">
        <f>SUM(H37,H46)</f>
        <v>0</v>
      </c>
      <c r="I47" s="39">
        <f>SUM(I37,I46)</f>
        <v>0</v>
      </c>
      <c r="J47" s="39">
        <f>SUM(J37,J46)</f>
        <v>0</v>
      </c>
      <c r="K47" s="39">
        <f>SUM(K37,K46)</f>
        <v>0</v>
      </c>
      <c r="L47" s="40"/>
    </row>
    <row r="48" spans="1:12" ht="17.25" customHeight="1">
      <c r="A48" s="195"/>
      <c r="C48" s="33"/>
      <c r="D48" s="36"/>
      <c r="E48" s="35">
        <f>E47-[5]【參考用】【各組】2025年預算編列!E36</f>
        <v>782.69999999999891</v>
      </c>
      <c r="F48" s="36"/>
      <c r="G48" s="36"/>
      <c r="H48" s="35"/>
      <c r="I48" s="35"/>
      <c r="J48" s="35"/>
      <c r="K48" s="35"/>
    </row>
    <row r="49" spans="1:13" ht="28.9">
      <c r="A49" s="282" t="s">
        <v>336</v>
      </c>
      <c r="C49" s="33"/>
      <c r="D49" s="41" t="s">
        <v>337</v>
      </c>
      <c r="E49" s="36"/>
      <c r="F49" s="36"/>
      <c r="G49" s="36"/>
      <c r="H49" s="35"/>
      <c r="I49" s="35"/>
      <c r="J49" s="35"/>
      <c r="K49" s="35"/>
    </row>
    <row r="50" spans="1:13" ht="15.6">
      <c r="A50" s="282"/>
      <c r="B50" s="286" t="s">
        <v>338</v>
      </c>
      <c r="C50" s="288" t="s">
        <v>247</v>
      </c>
      <c r="D50" s="285"/>
      <c r="E50" s="125" t="s">
        <v>259</v>
      </c>
      <c r="F50" s="125" t="s">
        <v>260</v>
      </c>
      <c r="G50" s="127" t="s">
        <v>261</v>
      </c>
      <c r="H50" s="124" t="s">
        <v>262</v>
      </c>
      <c r="I50" s="124" t="s">
        <v>263</v>
      </c>
      <c r="J50" s="124" t="s">
        <v>264</v>
      </c>
      <c r="K50" s="124" t="s">
        <v>265</v>
      </c>
      <c r="L50" s="125" t="s">
        <v>266</v>
      </c>
    </row>
    <row r="51" spans="1:13" ht="17.25" customHeight="1">
      <c r="A51" s="282"/>
      <c r="B51" s="287"/>
      <c r="C51" s="33">
        <v>1</v>
      </c>
      <c r="D51" s="132" t="s">
        <v>339</v>
      </c>
      <c r="E51" s="35">
        <v>600</v>
      </c>
      <c r="F51" s="33" t="s">
        <v>316</v>
      </c>
      <c r="G51" s="35">
        <v>600</v>
      </c>
      <c r="H51" s="42"/>
      <c r="I51" s="42"/>
      <c r="J51" s="42"/>
      <c r="K51" s="35"/>
      <c r="L51" s="196" t="s">
        <v>340</v>
      </c>
    </row>
    <row r="52" spans="1:13" ht="17.25" customHeight="1">
      <c r="A52" s="282"/>
      <c r="B52" s="287"/>
      <c r="C52" s="33">
        <v>2</v>
      </c>
      <c r="D52" s="34" t="s">
        <v>341</v>
      </c>
      <c r="E52" s="35">
        <v>6000</v>
      </c>
      <c r="F52" s="33" t="s">
        <v>282</v>
      </c>
      <c r="G52" s="35">
        <v>4000</v>
      </c>
      <c r="H52" s="42"/>
      <c r="I52" s="42"/>
      <c r="J52" s="42"/>
      <c r="K52" s="35"/>
      <c r="L52" s="196"/>
    </row>
    <row r="53" spans="1:13" ht="17.25" customHeight="1">
      <c r="A53" s="282"/>
      <c r="B53" s="287"/>
      <c r="C53" s="33">
        <v>3</v>
      </c>
      <c r="D53" s="34" t="s">
        <v>342</v>
      </c>
      <c r="E53" s="35">
        <v>500</v>
      </c>
      <c r="F53" s="33" t="s">
        <v>268</v>
      </c>
      <c r="G53" s="35">
        <v>500</v>
      </c>
      <c r="H53" s="42"/>
      <c r="I53" s="42"/>
      <c r="J53" s="42"/>
      <c r="K53" s="35"/>
      <c r="L53" s="36"/>
    </row>
    <row r="54" spans="1:13" ht="17.25" customHeight="1">
      <c r="A54" s="282"/>
      <c r="B54" s="187"/>
      <c r="C54" s="33"/>
      <c r="D54" s="34"/>
      <c r="E54" s="35"/>
      <c r="F54" s="33"/>
      <c r="G54" s="35"/>
      <c r="H54" s="42"/>
      <c r="I54" s="42"/>
      <c r="J54" s="42"/>
      <c r="K54" s="35"/>
      <c r="L54" s="36"/>
    </row>
    <row r="55" spans="1:13" ht="17.25" customHeight="1">
      <c r="A55" s="282"/>
      <c r="B55" s="43"/>
      <c r="C55" s="33"/>
      <c r="D55" s="34"/>
      <c r="E55" s="44">
        <f>SUM(E52:E53)</f>
        <v>6500</v>
      </c>
      <c r="F55" s="49">
        <f>E55-[5]【參考用】【各組】2025年預算編列!E42</f>
        <v>6500</v>
      </c>
      <c r="G55" s="34"/>
      <c r="H55" s="35"/>
      <c r="I55" s="35"/>
      <c r="J55" s="35"/>
      <c r="K55" s="35"/>
    </row>
    <row r="56" spans="1:13" ht="17.25" customHeight="1">
      <c r="A56" s="282"/>
      <c r="B56" s="286" t="s">
        <v>343</v>
      </c>
      <c r="C56" s="285" t="s">
        <v>344</v>
      </c>
      <c r="D56" s="285"/>
      <c r="E56" s="125" t="s">
        <v>259</v>
      </c>
      <c r="F56" s="125" t="s">
        <v>260</v>
      </c>
      <c r="G56" s="127" t="s">
        <v>261</v>
      </c>
      <c r="H56" s="124" t="s">
        <v>262</v>
      </c>
      <c r="I56" s="124" t="s">
        <v>263</v>
      </c>
      <c r="J56" s="124" t="s">
        <v>264</v>
      </c>
      <c r="K56" s="124" t="s">
        <v>265</v>
      </c>
      <c r="L56" s="125" t="s">
        <v>266</v>
      </c>
    </row>
    <row r="57" spans="1:13" ht="17.25" customHeight="1">
      <c r="A57" s="282"/>
      <c r="B57" s="287"/>
      <c r="C57" s="33">
        <v>1</v>
      </c>
      <c r="D57" s="34" t="s">
        <v>345</v>
      </c>
      <c r="E57" s="35">
        <v>1000</v>
      </c>
      <c r="F57" s="33" t="s">
        <v>282</v>
      </c>
      <c r="G57" s="35">
        <v>500</v>
      </c>
      <c r="H57" s="46"/>
      <c r="I57" s="46"/>
      <c r="J57" s="46"/>
      <c r="K57" s="35"/>
      <c r="L57" s="126"/>
    </row>
    <row r="58" spans="1:13" ht="17.25" customHeight="1">
      <c r="A58" s="282"/>
      <c r="B58" s="287"/>
      <c r="C58" s="33">
        <v>2</v>
      </c>
      <c r="D58" s="34" t="s">
        <v>346</v>
      </c>
      <c r="E58" s="35">
        <v>1440</v>
      </c>
      <c r="F58" s="33" t="s">
        <v>278</v>
      </c>
      <c r="G58" s="35">
        <v>1440</v>
      </c>
      <c r="H58" s="46"/>
      <c r="I58" s="46"/>
      <c r="K58" s="197"/>
      <c r="L58" s="126" t="s">
        <v>347</v>
      </c>
    </row>
    <row r="59" spans="1:13" ht="17.25" customHeight="1">
      <c r="A59" s="282"/>
      <c r="B59" s="287"/>
      <c r="C59" s="33">
        <v>3</v>
      </c>
      <c r="D59" s="34" t="s">
        <v>348</v>
      </c>
      <c r="E59" s="35">
        <v>972</v>
      </c>
      <c r="F59" s="33" t="s">
        <v>278</v>
      </c>
      <c r="G59" s="35">
        <v>972</v>
      </c>
      <c r="H59" s="46"/>
      <c r="J59" s="198"/>
      <c r="K59" s="190"/>
      <c r="L59" s="36" t="s">
        <v>349</v>
      </c>
      <c r="M59" s="45"/>
    </row>
    <row r="60" spans="1:13" ht="17.25" customHeight="1">
      <c r="A60" s="282"/>
      <c r="B60" s="287"/>
      <c r="C60" s="33">
        <v>4</v>
      </c>
      <c r="D60" s="34" t="s">
        <v>350</v>
      </c>
      <c r="E60" s="35">
        <v>1008</v>
      </c>
      <c r="F60" s="33" t="s">
        <v>278</v>
      </c>
      <c r="G60" s="35">
        <v>1008</v>
      </c>
      <c r="H60" s="46"/>
      <c r="I60" s="46"/>
      <c r="J60" s="198"/>
      <c r="K60" s="190"/>
      <c r="L60" s="36" t="s">
        <v>351</v>
      </c>
    </row>
    <row r="61" spans="1:13" ht="17.25" customHeight="1">
      <c r="A61" s="282"/>
      <c r="B61" s="187"/>
      <c r="C61" s="33"/>
      <c r="D61" s="34"/>
      <c r="E61" s="35"/>
      <c r="F61" s="33"/>
      <c r="G61" s="33"/>
      <c r="H61" s="46"/>
      <c r="I61" s="46"/>
      <c r="J61" s="46"/>
      <c r="K61" s="35"/>
    </row>
    <row r="62" spans="1:13" ht="17.25" customHeight="1">
      <c r="A62" s="282"/>
      <c r="B62" s="47"/>
      <c r="C62" s="33"/>
      <c r="D62" s="34"/>
      <c r="E62" s="35">
        <f>SUM(E57:E60)</f>
        <v>4420</v>
      </c>
      <c r="F62" s="49">
        <f>E62-[5]【參考用】【各組】2025年預算編列!E51</f>
        <v>-180</v>
      </c>
      <c r="G62" s="33"/>
      <c r="H62" s="35"/>
      <c r="I62" s="35"/>
      <c r="J62" s="35"/>
      <c r="K62" s="35"/>
    </row>
    <row r="63" spans="1:13" ht="17.25" customHeight="1">
      <c r="A63" s="282"/>
      <c r="B63" s="37" t="s">
        <v>335</v>
      </c>
      <c r="C63" s="37"/>
      <c r="D63" s="38"/>
      <c r="E63" s="39">
        <f>SUM(E55,E62)</f>
        <v>10920</v>
      </c>
      <c r="F63" s="38"/>
      <c r="G63" s="38"/>
      <c r="H63" s="39">
        <f>SUM(H55,H62)</f>
        <v>0</v>
      </c>
      <c r="I63" s="39">
        <f>SUM(I55,I62)</f>
        <v>0</v>
      </c>
      <c r="J63" s="39">
        <f>SUM(J55,J62)</f>
        <v>0</v>
      </c>
      <c r="K63" s="39">
        <f>SUM(K55,K62)</f>
        <v>0</v>
      </c>
      <c r="L63" s="40"/>
    </row>
    <row r="64" spans="1:13" ht="17.25" customHeight="1">
      <c r="A64" s="48"/>
      <c r="C64" s="33"/>
      <c r="D64" s="36"/>
      <c r="E64" s="35">
        <f>E63-[5]【參考用】【各組】2025年預算編列!E52</f>
        <v>6320</v>
      </c>
      <c r="F64" s="36"/>
      <c r="G64" s="36"/>
      <c r="H64" s="35"/>
      <c r="I64" s="35"/>
      <c r="J64" s="35"/>
      <c r="K64" s="35"/>
    </row>
    <row r="65" spans="1:11" ht="17.25" customHeight="1">
      <c r="A65" s="48"/>
      <c r="C65" s="33"/>
      <c r="D65" s="36"/>
      <c r="E65" s="36"/>
      <c r="F65" s="36"/>
      <c r="G65" s="36"/>
      <c r="H65" s="35"/>
      <c r="I65" s="35"/>
      <c r="J65" s="35"/>
      <c r="K65" s="35"/>
    </row>
    <row r="66" spans="1:11" ht="17.25" customHeight="1">
      <c r="A66" s="48"/>
      <c r="C66" s="33"/>
      <c r="D66" s="36"/>
      <c r="E66" s="36"/>
      <c r="F66" s="36"/>
      <c r="G66" s="36"/>
      <c r="H66" s="35"/>
      <c r="I66" s="35"/>
      <c r="J66" s="35"/>
      <c r="K66" s="35"/>
    </row>
    <row r="67" spans="1:11" ht="17.25" customHeight="1">
      <c r="A67" s="48"/>
      <c r="B67" s="279" t="s">
        <v>352</v>
      </c>
      <c r="C67" s="33">
        <v>1</v>
      </c>
      <c r="D67" s="132" t="s">
        <v>353</v>
      </c>
      <c r="E67" s="35">
        <v>520</v>
      </c>
      <c r="F67" s="36"/>
      <c r="G67" s="36"/>
      <c r="H67" s="35"/>
      <c r="I67" s="35"/>
      <c r="J67" s="35"/>
      <c r="K67" s="35"/>
    </row>
    <row r="68" spans="1:11" ht="17.25" customHeight="1">
      <c r="A68" s="48"/>
      <c r="B68" s="280"/>
      <c r="C68" s="33">
        <v>2</v>
      </c>
      <c r="D68" s="34" t="s">
        <v>354</v>
      </c>
      <c r="E68" s="35">
        <v>300</v>
      </c>
      <c r="F68" s="36"/>
      <c r="G68" s="36"/>
      <c r="H68" s="35"/>
      <c r="I68" s="35"/>
      <c r="J68" s="35"/>
      <c r="K68" s="35"/>
    </row>
    <row r="69" spans="1:11" ht="17.25" customHeight="1">
      <c r="A69" s="48"/>
      <c r="B69" s="280"/>
      <c r="C69" s="33"/>
      <c r="D69" s="36"/>
      <c r="E69" s="35"/>
      <c r="F69" s="36"/>
      <c r="G69" s="36"/>
      <c r="H69" s="35"/>
      <c r="I69" s="35"/>
      <c r="J69" s="35"/>
      <c r="K69" s="35"/>
    </row>
    <row r="70" spans="1:11" ht="17.25" customHeight="1">
      <c r="A70" s="48"/>
      <c r="B70" s="280"/>
      <c r="C70" s="33"/>
      <c r="D70" s="36"/>
      <c r="E70" s="35"/>
      <c r="F70" s="36"/>
      <c r="G70" s="36"/>
      <c r="H70" s="35"/>
      <c r="I70" s="35"/>
      <c r="J70" s="35"/>
      <c r="K70" s="35"/>
    </row>
    <row r="71" spans="1:11" ht="17.25" customHeight="1">
      <c r="A71" s="48"/>
      <c r="B71" s="280"/>
      <c r="C71" s="33"/>
      <c r="D71" s="36"/>
      <c r="E71" s="35"/>
      <c r="F71" s="36"/>
      <c r="G71" s="36"/>
      <c r="H71" s="35"/>
      <c r="I71" s="35"/>
      <c r="J71" s="35"/>
      <c r="K71" s="35"/>
    </row>
    <row r="72" spans="1:11" ht="17.25" customHeight="1">
      <c r="A72" s="48"/>
      <c r="B72" s="280"/>
      <c r="C72" s="33"/>
      <c r="D72" s="36"/>
      <c r="E72" s="35"/>
      <c r="F72" s="36"/>
      <c r="G72" s="36"/>
      <c r="H72" s="35"/>
      <c r="I72" s="35"/>
      <c r="J72" s="35"/>
      <c r="K72" s="35"/>
    </row>
    <row r="73" spans="1:11" ht="17.25" customHeight="1">
      <c r="A73" s="48"/>
      <c r="C73" s="33"/>
      <c r="D73" s="36"/>
      <c r="E73" s="36"/>
      <c r="F73" s="36"/>
      <c r="G73" s="36"/>
      <c r="H73" s="35"/>
      <c r="I73" s="35"/>
      <c r="J73" s="35"/>
      <c r="K73" s="35"/>
    </row>
    <row r="74" spans="1:11" ht="17.25" customHeight="1">
      <c r="A74" s="48"/>
      <c r="C74" s="33"/>
      <c r="D74" s="36"/>
      <c r="E74" s="36"/>
      <c r="F74" s="36"/>
      <c r="G74" s="36"/>
      <c r="H74" s="35"/>
      <c r="I74" s="35"/>
      <c r="J74" s="35"/>
      <c r="K74" s="35"/>
    </row>
    <row r="75" spans="1:11" ht="17.25" customHeight="1">
      <c r="A75" s="48"/>
      <c r="C75" s="33"/>
      <c r="D75" s="36"/>
      <c r="E75" s="36"/>
      <c r="F75" s="36"/>
      <c r="G75" s="36"/>
      <c r="H75" s="35"/>
      <c r="I75" s="35"/>
      <c r="J75" s="35"/>
      <c r="K75" s="35"/>
    </row>
    <row r="76" spans="1:11" ht="17.25" customHeight="1">
      <c r="A76" s="48"/>
      <c r="C76" s="33"/>
      <c r="D76" s="36"/>
      <c r="E76" s="36"/>
      <c r="F76" s="36"/>
      <c r="G76" s="36"/>
      <c r="H76" s="35"/>
      <c r="I76" s="35"/>
      <c r="J76" s="35"/>
      <c r="K76" s="35"/>
    </row>
    <row r="77" spans="1:11" ht="17.25" customHeight="1">
      <c r="A77" s="48"/>
      <c r="C77" s="33"/>
      <c r="D77" s="36"/>
      <c r="E77" s="36"/>
      <c r="F77" s="36"/>
      <c r="G77" s="36"/>
      <c r="H77" s="35"/>
      <c r="I77" s="35"/>
      <c r="J77" s="35"/>
      <c r="K77" s="35"/>
    </row>
    <row r="78" spans="1:11" ht="17.25" customHeight="1">
      <c r="A78" s="48"/>
      <c r="C78" s="33"/>
      <c r="D78" s="36"/>
      <c r="E78" s="36"/>
      <c r="F78" s="36"/>
      <c r="G78" s="36"/>
      <c r="H78" s="35"/>
      <c r="I78" s="35"/>
      <c r="J78" s="35"/>
      <c r="K78" s="35"/>
    </row>
    <row r="79" spans="1:11" ht="17.25" customHeight="1">
      <c r="A79" s="48"/>
      <c r="C79" s="33"/>
      <c r="D79" s="36"/>
      <c r="E79" s="36"/>
      <c r="F79" s="36"/>
      <c r="G79" s="36"/>
      <c r="H79" s="35"/>
      <c r="I79" s="35"/>
      <c r="J79" s="35"/>
      <c r="K79" s="35"/>
    </row>
    <row r="80" spans="1:11">
      <c r="C80" s="33"/>
      <c r="D80" s="36"/>
      <c r="E80" s="36"/>
      <c r="F80" s="36"/>
      <c r="G80" s="36"/>
      <c r="H80" s="35"/>
      <c r="I80" s="35"/>
      <c r="J80" s="35"/>
      <c r="K80" s="35"/>
    </row>
    <row r="81" spans="3:11">
      <c r="C81" s="33"/>
      <c r="D81" s="36"/>
      <c r="E81" s="36"/>
      <c r="F81" s="36"/>
      <c r="G81" s="36"/>
      <c r="H81" s="35"/>
      <c r="I81" s="35"/>
      <c r="J81" s="35"/>
      <c r="K81" s="35"/>
    </row>
    <row r="82" spans="3:11">
      <c r="C82" s="33"/>
      <c r="D82" s="36"/>
      <c r="E82" s="36"/>
      <c r="F82" s="36"/>
      <c r="G82" s="36"/>
      <c r="H82" s="35"/>
      <c r="I82" s="35"/>
      <c r="J82" s="35"/>
      <c r="K82" s="35"/>
    </row>
    <row r="83" spans="3:11">
      <c r="C83" s="33"/>
      <c r="D83" s="36"/>
      <c r="E83" s="36"/>
      <c r="F83" s="36"/>
      <c r="G83" s="36"/>
      <c r="H83" s="35"/>
      <c r="I83" s="35"/>
      <c r="J83" s="35"/>
      <c r="K83" s="35"/>
    </row>
    <row r="84" spans="3:11">
      <c r="C84" s="33"/>
      <c r="D84" s="36"/>
      <c r="E84" s="36"/>
      <c r="F84" s="36"/>
      <c r="G84" s="36"/>
      <c r="H84" s="35"/>
      <c r="I84" s="35"/>
      <c r="J84" s="35"/>
      <c r="K84" s="35"/>
    </row>
    <row r="85" spans="3:11">
      <c r="C85" s="33"/>
      <c r="D85" s="36"/>
      <c r="E85" s="36"/>
      <c r="F85" s="36"/>
      <c r="G85" s="36"/>
      <c r="H85" s="35"/>
      <c r="I85" s="35"/>
      <c r="J85" s="35"/>
      <c r="K85" s="35"/>
    </row>
    <row r="86" spans="3:11">
      <c r="C86" s="33"/>
      <c r="D86" s="36"/>
      <c r="E86" s="36"/>
      <c r="F86" s="36"/>
      <c r="G86" s="36"/>
      <c r="H86" s="35"/>
      <c r="I86" s="35"/>
      <c r="J86" s="35"/>
      <c r="K86" s="35"/>
    </row>
    <row r="87" spans="3:11">
      <c r="C87" s="33"/>
      <c r="D87" s="36"/>
      <c r="E87" s="36"/>
      <c r="F87" s="36"/>
      <c r="G87" s="36"/>
      <c r="H87" s="35"/>
      <c r="I87" s="35"/>
      <c r="J87" s="35"/>
      <c r="K87" s="35"/>
    </row>
    <row r="88" spans="3:11">
      <c r="C88" s="33"/>
      <c r="D88" s="36"/>
      <c r="E88" s="36"/>
      <c r="F88" s="36"/>
      <c r="G88" s="36"/>
      <c r="H88" s="35"/>
      <c r="I88" s="35"/>
      <c r="J88" s="35"/>
      <c r="K88" s="35"/>
    </row>
    <row r="89" spans="3:11">
      <c r="C89" s="33"/>
      <c r="D89" s="36"/>
      <c r="E89" s="36"/>
      <c r="F89" s="36"/>
      <c r="G89" s="36"/>
      <c r="H89" s="35"/>
      <c r="I89" s="35"/>
      <c r="J89" s="35"/>
      <c r="K89" s="35"/>
    </row>
    <row r="90" spans="3:11">
      <c r="C90" s="33"/>
      <c r="D90" s="36"/>
      <c r="E90" s="36"/>
      <c r="F90" s="36"/>
      <c r="G90" s="36"/>
      <c r="H90" s="35"/>
      <c r="I90" s="35"/>
      <c r="J90" s="35"/>
      <c r="K90" s="35"/>
    </row>
    <row r="91" spans="3:11">
      <c r="C91" s="33"/>
      <c r="D91" s="33"/>
      <c r="E91" s="33"/>
      <c r="F91" s="33"/>
      <c r="G91" s="33"/>
      <c r="H91" s="35"/>
      <c r="I91" s="35"/>
      <c r="J91" s="35"/>
      <c r="K91" s="35"/>
    </row>
    <row r="92" spans="3:11">
      <c r="C92" s="33"/>
      <c r="D92" s="33"/>
      <c r="E92" s="33"/>
      <c r="F92" s="33"/>
      <c r="G92" s="33"/>
      <c r="H92" s="35"/>
      <c r="I92" s="35"/>
      <c r="J92" s="35"/>
      <c r="K92" s="35"/>
    </row>
    <row r="93" spans="3:11">
      <c r="C93" s="33"/>
      <c r="D93" s="33"/>
      <c r="E93" s="33"/>
      <c r="F93" s="33"/>
      <c r="G93" s="33"/>
      <c r="H93" s="35"/>
      <c r="I93" s="35"/>
      <c r="J93" s="35"/>
      <c r="K93" s="35"/>
    </row>
    <row r="94" spans="3:11">
      <c r="C94" s="33"/>
      <c r="D94" s="33"/>
      <c r="E94" s="33"/>
      <c r="F94" s="33"/>
      <c r="G94" s="33"/>
      <c r="H94" s="35"/>
      <c r="I94" s="35"/>
      <c r="J94" s="35"/>
      <c r="K94" s="35"/>
    </row>
    <row r="95" spans="3:11">
      <c r="C95" s="33"/>
      <c r="D95" s="33"/>
      <c r="E95" s="33"/>
      <c r="F95" s="33"/>
      <c r="G95" s="33"/>
      <c r="H95" s="35"/>
      <c r="I95" s="35"/>
      <c r="J95" s="35"/>
      <c r="K95" s="35"/>
    </row>
    <row r="96" spans="3:11">
      <c r="C96" s="33"/>
      <c r="D96" s="33"/>
      <c r="E96" s="33"/>
      <c r="F96" s="33"/>
      <c r="G96" s="33"/>
      <c r="H96" s="35"/>
      <c r="I96" s="35"/>
      <c r="J96" s="35"/>
      <c r="K96" s="35"/>
    </row>
    <row r="97" spans="3:11">
      <c r="C97" s="33"/>
      <c r="D97" s="33"/>
      <c r="E97" s="33"/>
      <c r="F97" s="33"/>
      <c r="G97" s="33"/>
      <c r="H97" s="35"/>
      <c r="I97" s="35"/>
      <c r="J97" s="35"/>
      <c r="K97" s="35"/>
    </row>
    <row r="98" spans="3:11">
      <c r="C98" s="33"/>
      <c r="D98" s="33"/>
      <c r="E98" s="33"/>
      <c r="F98" s="33"/>
      <c r="G98" s="33"/>
      <c r="H98" s="35"/>
      <c r="I98" s="35"/>
      <c r="J98" s="35"/>
      <c r="K98" s="35"/>
    </row>
    <row r="99" spans="3:11">
      <c r="C99" s="33"/>
      <c r="D99" s="33"/>
      <c r="E99" s="33"/>
      <c r="F99" s="33"/>
      <c r="G99" s="33"/>
      <c r="H99" s="35"/>
      <c r="I99" s="35"/>
      <c r="J99" s="35"/>
      <c r="K99" s="35"/>
    </row>
  </sheetData>
  <mergeCells count="14">
    <mergeCell ref="B67:B72"/>
    <mergeCell ref="A2:A47"/>
    <mergeCell ref="B2:B20"/>
    <mergeCell ref="C2:D2"/>
    <mergeCell ref="B22:B28"/>
    <mergeCell ref="C22:D22"/>
    <mergeCell ref="B30:B45"/>
    <mergeCell ref="C30:D30"/>
    <mergeCell ref="C35:D35"/>
    <mergeCell ref="A49:A63"/>
    <mergeCell ref="B50:B53"/>
    <mergeCell ref="C50:D50"/>
    <mergeCell ref="B56:B60"/>
    <mergeCell ref="C56:D56"/>
  </mergeCells>
  <phoneticPr fontId="3" type="noConversion"/>
  <dataValidations count="1">
    <dataValidation allowBlank="1" showInputMessage="1" showErrorMessage="1" prompt="▲籌設金控設計卓越中心 (非金控實體部門)，做為設計經驗交流社群與平台_x000a_▲匯集各公司商品與設計人才，統一進行設計思考方法與新工具教育訓練，並舉辦整合服務設計工作坊，發想、創新設計跨公司整合服務" sqref="D31:D33" xr:uid="{BE211DB4-1420-4997-AC89-722A42645CEB}"/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56C38-5F79-45A8-B0CC-73F2C891AF1B}">
  <dimension ref="A1:M88"/>
  <sheetViews>
    <sheetView zoomScale="55" zoomScaleNormal="55" workbookViewId="0">
      <selection activeCell="L10" sqref="L10"/>
    </sheetView>
  </sheetViews>
  <sheetFormatPr defaultRowHeight="15"/>
  <cols>
    <col min="1" max="1" width="9.140625" style="32"/>
    <col min="2" max="2" width="12" style="32" bestFit="1" customWidth="1"/>
    <col min="3" max="3" width="4.5703125" style="32" bestFit="1" customWidth="1"/>
    <col min="4" max="4" width="89.5703125" style="32" customWidth="1"/>
    <col min="5" max="5" width="14" style="32" bestFit="1" customWidth="1"/>
    <col min="6" max="6" width="29.5703125" style="32" bestFit="1" customWidth="1"/>
    <col min="7" max="7" width="28.85546875" style="32" bestFit="1" customWidth="1"/>
    <col min="8" max="11" width="11" style="32" hidden="1" customWidth="1"/>
    <col min="12" max="12" width="87.28515625" style="32" bestFit="1" customWidth="1"/>
    <col min="13" max="13" width="47.5703125" style="32" customWidth="1"/>
    <col min="14" max="258" width="9.140625" style="32"/>
    <col min="259" max="259" width="10.85546875" style="32" bestFit="1" customWidth="1"/>
    <col min="260" max="260" width="4.5703125" style="32" bestFit="1" customWidth="1"/>
    <col min="261" max="261" width="79.42578125" style="32" customWidth="1"/>
    <col min="262" max="262" width="11.5703125" style="32" customWidth="1"/>
    <col min="263" max="263" width="15.140625" style="32" bestFit="1" customWidth="1"/>
    <col min="264" max="267" width="11" style="32" customWidth="1"/>
    <col min="268" max="268" width="86.7109375" style="32" bestFit="1" customWidth="1"/>
    <col min="269" max="269" width="47.5703125" style="32" customWidth="1"/>
    <col min="270" max="514" width="9.140625" style="32"/>
    <col min="515" max="515" width="10.85546875" style="32" bestFit="1" customWidth="1"/>
    <col min="516" max="516" width="4.5703125" style="32" bestFit="1" customWidth="1"/>
    <col min="517" max="517" width="79.42578125" style="32" customWidth="1"/>
    <col min="518" max="518" width="11.5703125" style="32" customWidth="1"/>
    <col min="519" max="519" width="15.140625" style="32" bestFit="1" customWidth="1"/>
    <col min="520" max="523" width="11" style="32" customWidth="1"/>
    <col min="524" max="524" width="86.7109375" style="32" bestFit="1" customWidth="1"/>
    <col min="525" max="525" width="47.5703125" style="32" customWidth="1"/>
    <col min="526" max="770" width="9.140625" style="32"/>
    <col min="771" max="771" width="10.85546875" style="32" bestFit="1" customWidth="1"/>
    <col min="772" max="772" width="4.5703125" style="32" bestFit="1" customWidth="1"/>
    <col min="773" max="773" width="79.42578125" style="32" customWidth="1"/>
    <col min="774" max="774" width="11.5703125" style="32" customWidth="1"/>
    <col min="775" max="775" width="15.140625" style="32" bestFit="1" customWidth="1"/>
    <col min="776" max="779" width="11" style="32" customWidth="1"/>
    <col min="780" max="780" width="86.7109375" style="32" bestFit="1" customWidth="1"/>
    <col min="781" max="781" width="47.5703125" style="32" customWidth="1"/>
    <col min="782" max="1026" width="9.140625" style="32"/>
    <col min="1027" max="1027" width="10.85546875" style="32" bestFit="1" customWidth="1"/>
    <col min="1028" max="1028" width="4.5703125" style="32" bestFit="1" customWidth="1"/>
    <col min="1029" max="1029" width="79.42578125" style="32" customWidth="1"/>
    <col min="1030" max="1030" width="11.5703125" style="32" customWidth="1"/>
    <col min="1031" max="1031" width="15.140625" style="32" bestFit="1" customWidth="1"/>
    <col min="1032" max="1035" width="11" style="32" customWidth="1"/>
    <col min="1036" max="1036" width="86.7109375" style="32" bestFit="1" customWidth="1"/>
    <col min="1037" max="1037" width="47.5703125" style="32" customWidth="1"/>
    <col min="1038" max="1282" width="9.140625" style="32"/>
    <col min="1283" max="1283" width="10.85546875" style="32" bestFit="1" customWidth="1"/>
    <col min="1284" max="1284" width="4.5703125" style="32" bestFit="1" customWidth="1"/>
    <col min="1285" max="1285" width="79.42578125" style="32" customWidth="1"/>
    <col min="1286" max="1286" width="11.5703125" style="32" customWidth="1"/>
    <col min="1287" max="1287" width="15.140625" style="32" bestFit="1" customWidth="1"/>
    <col min="1288" max="1291" width="11" style="32" customWidth="1"/>
    <col min="1292" max="1292" width="86.7109375" style="32" bestFit="1" customWidth="1"/>
    <col min="1293" max="1293" width="47.5703125" style="32" customWidth="1"/>
    <col min="1294" max="1538" width="9.140625" style="32"/>
    <col min="1539" max="1539" width="10.85546875" style="32" bestFit="1" customWidth="1"/>
    <col min="1540" max="1540" width="4.5703125" style="32" bestFit="1" customWidth="1"/>
    <col min="1541" max="1541" width="79.42578125" style="32" customWidth="1"/>
    <col min="1542" max="1542" width="11.5703125" style="32" customWidth="1"/>
    <col min="1543" max="1543" width="15.140625" style="32" bestFit="1" customWidth="1"/>
    <col min="1544" max="1547" width="11" style="32" customWidth="1"/>
    <col min="1548" max="1548" width="86.7109375" style="32" bestFit="1" customWidth="1"/>
    <col min="1549" max="1549" width="47.5703125" style="32" customWidth="1"/>
    <col min="1550" max="1794" width="9.140625" style="32"/>
    <col min="1795" max="1795" width="10.85546875" style="32" bestFit="1" customWidth="1"/>
    <col min="1796" max="1796" width="4.5703125" style="32" bestFit="1" customWidth="1"/>
    <col min="1797" max="1797" width="79.42578125" style="32" customWidth="1"/>
    <col min="1798" max="1798" width="11.5703125" style="32" customWidth="1"/>
    <col min="1799" max="1799" width="15.140625" style="32" bestFit="1" customWidth="1"/>
    <col min="1800" max="1803" width="11" style="32" customWidth="1"/>
    <col min="1804" max="1804" width="86.7109375" style="32" bestFit="1" customWidth="1"/>
    <col min="1805" max="1805" width="47.5703125" style="32" customWidth="1"/>
    <col min="1806" max="2050" width="9.140625" style="32"/>
    <col min="2051" max="2051" width="10.85546875" style="32" bestFit="1" customWidth="1"/>
    <col min="2052" max="2052" width="4.5703125" style="32" bestFit="1" customWidth="1"/>
    <col min="2053" max="2053" width="79.42578125" style="32" customWidth="1"/>
    <col min="2054" max="2054" width="11.5703125" style="32" customWidth="1"/>
    <col min="2055" max="2055" width="15.140625" style="32" bestFit="1" customWidth="1"/>
    <col min="2056" max="2059" width="11" style="32" customWidth="1"/>
    <col min="2060" max="2060" width="86.7109375" style="32" bestFit="1" customWidth="1"/>
    <col min="2061" max="2061" width="47.5703125" style="32" customWidth="1"/>
    <col min="2062" max="2306" width="9.140625" style="32"/>
    <col min="2307" max="2307" width="10.85546875" style="32" bestFit="1" customWidth="1"/>
    <col min="2308" max="2308" width="4.5703125" style="32" bestFit="1" customWidth="1"/>
    <col min="2309" max="2309" width="79.42578125" style="32" customWidth="1"/>
    <col min="2310" max="2310" width="11.5703125" style="32" customWidth="1"/>
    <col min="2311" max="2311" width="15.140625" style="32" bestFit="1" customWidth="1"/>
    <col min="2312" max="2315" width="11" style="32" customWidth="1"/>
    <col min="2316" max="2316" width="86.7109375" style="32" bestFit="1" customWidth="1"/>
    <col min="2317" max="2317" width="47.5703125" style="32" customWidth="1"/>
    <col min="2318" max="2562" width="9.140625" style="32"/>
    <col min="2563" max="2563" width="10.85546875" style="32" bestFit="1" customWidth="1"/>
    <col min="2564" max="2564" width="4.5703125" style="32" bestFit="1" customWidth="1"/>
    <col min="2565" max="2565" width="79.42578125" style="32" customWidth="1"/>
    <col min="2566" max="2566" width="11.5703125" style="32" customWidth="1"/>
    <col min="2567" max="2567" width="15.140625" style="32" bestFit="1" customWidth="1"/>
    <col min="2568" max="2571" width="11" style="32" customWidth="1"/>
    <col min="2572" max="2572" width="86.7109375" style="32" bestFit="1" customWidth="1"/>
    <col min="2573" max="2573" width="47.5703125" style="32" customWidth="1"/>
    <col min="2574" max="2818" width="9.140625" style="32"/>
    <col min="2819" max="2819" width="10.85546875" style="32" bestFit="1" customWidth="1"/>
    <col min="2820" max="2820" width="4.5703125" style="32" bestFit="1" customWidth="1"/>
    <col min="2821" max="2821" width="79.42578125" style="32" customWidth="1"/>
    <col min="2822" max="2822" width="11.5703125" style="32" customWidth="1"/>
    <col min="2823" max="2823" width="15.140625" style="32" bestFit="1" customWidth="1"/>
    <col min="2824" max="2827" width="11" style="32" customWidth="1"/>
    <col min="2828" max="2828" width="86.7109375" style="32" bestFit="1" customWidth="1"/>
    <col min="2829" max="2829" width="47.5703125" style="32" customWidth="1"/>
    <col min="2830" max="3074" width="9.140625" style="32"/>
    <col min="3075" max="3075" width="10.85546875" style="32" bestFit="1" customWidth="1"/>
    <col min="3076" max="3076" width="4.5703125" style="32" bestFit="1" customWidth="1"/>
    <col min="3077" max="3077" width="79.42578125" style="32" customWidth="1"/>
    <col min="3078" max="3078" width="11.5703125" style="32" customWidth="1"/>
    <col min="3079" max="3079" width="15.140625" style="32" bestFit="1" customWidth="1"/>
    <col min="3080" max="3083" width="11" style="32" customWidth="1"/>
    <col min="3084" max="3084" width="86.7109375" style="32" bestFit="1" customWidth="1"/>
    <col min="3085" max="3085" width="47.5703125" style="32" customWidth="1"/>
    <col min="3086" max="3330" width="9.140625" style="32"/>
    <col min="3331" max="3331" width="10.85546875" style="32" bestFit="1" customWidth="1"/>
    <col min="3332" max="3332" width="4.5703125" style="32" bestFit="1" customWidth="1"/>
    <col min="3333" max="3333" width="79.42578125" style="32" customWidth="1"/>
    <col min="3334" max="3334" width="11.5703125" style="32" customWidth="1"/>
    <col min="3335" max="3335" width="15.140625" style="32" bestFit="1" customWidth="1"/>
    <col min="3336" max="3339" width="11" style="32" customWidth="1"/>
    <col min="3340" max="3340" width="86.7109375" style="32" bestFit="1" customWidth="1"/>
    <col min="3341" max="3341" width="47.5703125" style="32" customWidth="1"/>
    <col min="3342" max="3586" width="9.140625" style="32"/>
    <col min="3587" max="3587" width="10.85546875" style="32" bestFit="1" customWidth="1"/>
    <col min="3588" max="3588" width="4.5703125" style="32" bestFit="1" customWidth="1"/>
    <col min="3589" max="3589" width="79.42578125" style="32" customWidth="1"/>
    <col min="3590" max="3590" width="11.5703125" style="32" customWidth="1"/>
    <col min="3591" max="3591" width="15.140625" style="32" bestFit="1" customWidth="1"/>
    <col min="3592" max="3595" width="11" style="32" customWidth="1"/>
    <col min="3596" max="3596" width="86.7109375" style="32" bestFit="1" customWidth="1"/>
    <col min="3597" max="3597" width="47.5703125" style="32" customWidth="1"/>
    <col min="3598" max="3842" width="9.140625" style="32"/>
    <col min="3843" max="3843" width="10.85546875" style="32" bestFit="1" customWidth="1"/>
    <col min="3844" max="3844" width="4.5703125" style="32" bestFit="1" customWidth="1"/>
    <col min="3845" max="3845" width="79.42578125" style="32" customWidth="1"/>
    <col min="3846" max="3846" width="11.5703125" style="32" customWidth="1"/>
    <col min="3847" max="3847" width="15.140625" style="32" bestFit="1" customWidth="1"/>
    <col min="3848" max="3851" width="11" style="32" customWidth="1"/>
    <col min="3852" max="3852" width="86.7109375" style="32" bestFit="1" customWidth="1"/>
    <col min="3853" max="3853" width="47.5703125" style="32" customWidth="1"/>
    <col min="3854" max="4098" width="9.140625" style="32"/>
    <col min="4099" max="4099" width="10.85546875" style="32" bestFit="1" customWidth="1"/>
    <col min="4100" max="4100" width="4.5703125" style="32" bestFit="1" customWidth="1"/>
    <col min="4101" max="4101" width="79.42578125" style="32" customWidth="1"/>
    <col min="4102" max="4102" width="11.5703125" style="32" customWidth="1"/>
    <col min="4103" max="4103" width="15.140625" style="32" bestFit="1" customWidth="1"/>
    <col min="4104" max="4107" width="11" style="32" customWidth="1"/>
    <col min="4108" max="4108" width="86.7109375" style="32" bestFit="1" customWidth="1"/>
    <col min="4109" max="4109" width="47.5703125" style="32" customWidth="1"/>
    <col min="4110" max="4354" width="9.140625" style="32"/>
    <col min="4355" max="4355" width="10.85546875" style="32" bestFit="1" customWidth="1"/>
    <col min="4356" max="4356" width="4.5703125" style="32" bestFit="1" customWidth="1"/>
    <col min="4357" max="4357" width="79.42578125" style="32" customWidth="1"/>
    <col min="4358" max="4358" width="11.5703125" style="32" customWidth="1"/>
    <col min="4359" max="4359" width="15.140625" style="32" bestFit="1" customWidth="1"/>
    <col min="4360" max="4363" width="11" style="32" customWidth="1"/>
    <col min="4364" max="4364" width="86.7109375" style="32" bestFit="1" customWidth="1"/>
    <col min="4365" max="4365" width="47.5703125" style="32" customWidth="1"/>
    <col min="4366" max="4610" width="9.140625" style="32"/>
    <col min="4611" max="4611" width="10.85546875" style="32" bestFit="1" customWidth="1"/>
    <col min="4612" max="4612" width="4.5703125" style="32" bestFit="1" customWidth="1"/>
    <col min="4613" max="4613" width="79.42578125" style="32" customWidth="1"/>
    <col min="4614" max="4614" width="11.5703125" style="32" customWidth="1"/>
    <col min="4615" max="4615" width="15.140625" style="32" bestFit="1" customWidth="1"/>
    <col min="4616" max="4619" width="11" style="32" customWidth="1"/>
    <col min="4620" max="4620" width="86.7109375" style="32" bestFit="1" customWidth="1"/>
    <col min="4621" max="4621" width="47.5703125" style="32" customWidth="1"/>
    <col min="4622" max="4866" width="9.140625" style="32"/>
    <col min="4867" max="4867" width="10.85546875" style="32" bestFit="1" customWidth="1"/>
    <col min="4868" max="4868" width="4.5703125" style="32" bestFit="1" customWidth="1"/>
    <col min="4869" max="4869" width="79.42578125" style="32" customWidth="1"/>
    <col min="4870" max="4870" width="11.5703125" style="32" customWidth="1"/>
    <col min="4871" max="4871" width="15.140625" style="32" bestFit="1" customWidth="1"/>
    <col min="4872" max="4875" width="11" style="32" customWidth="1"/>
    <col min="4876" max="4876" width="86.7109375" style="32" bestFit="1" customWidth="1"/>
    <col min="4877" max="4877" width="47.5703125" style="32" customWidth="1"/>
    <col min="4878" max="5122" width="9.140625" style="32"/>
    <col min="5123" max="5123" width="10.85546875" style="32" bestFit="1" customWidth="1"/>
    <col min="5124" max="5124" width="4.5703125" style="32" bestFit="1" customWidth="1"/>
    <col min="5125" max="5125" width="79.42578125" style="32" customWidth="1"/>
    <col min="5126" max="5126" width="11.5703125" style="32" customWidth="1"/>
    <col min="5127" max="5127" width="15.140625" style="32" bestFit="1" customWidth="1"/>
    <col min="5128" max="5131" width="11" style="32" customWidth="1"/>
    <col min="5132" max="5132" width="86.7109375" style="32" bestFit="1" customWidth="1"/>
    <col min="5133" max="5133" width="47.5703125" style="32" customWidth="1"/>
    <col min="5134" max="5378" width="9.140625" style="32"/>
    <col min="5379" max="5379" width="10.85546875" style="32" bestFit="1" customWidth="1"/>
    <col min="5380" max="5380" width="4.5703125" style="32" bestFit="1" customWidth="1"/>
    <col min="5381" max="5381" width="79.42578125" style="32" customWidth="1"/>
    <col min="5382" max="5382" width="11.5703125" style="32" customWidth="1"/>
    <col min="5383" max="5383" width="15.140625" style="32" bestFit="1" customWidth="1"/>
    <col min="5384" max="5387" width="11" style="32" customWidth="1"/>
    <col min="5388" max="5388" width="86.7109375" style="32" bestFit="1" customWidth="1"/>
    <col min="5389" max="5389" width="47.5703125" style="32" customWidth="1"/>
    <col min="5390" max="5634" width="9.140625" style="32"/>
    <col min="5635" max="5635" width="10.85546875" style="32" bestFit="1" customWidth="1"/>
    <col min="5636" max="5636" width="4.5703125" style="32" bestFit="1" customWidth="1"/>
    <col min="5637" max="5637" width="79.42578125" style="32" customWidth="1"/>
    <col min="5638" max="5638" width="11.5703125" style="32" customWidth="1"/>
    <col min="5639" max="5639" width="15.140625" style="32" bestFit="1" customWidth="1"/>
    <col min="5640" max="5643" width="11" style="32" customWidth="1"/>
    <col min="5644" max="5644" width="86.7109375" style="32" bestFit="1" customWidth="1"/>
    <col min="5645" max="5645" width="47.5703125" style="32" customWidth="1"/>
    <col min="5646" max="5890" width="9.140625" style="32"/>
    <col min="5891" max="5891" width="10.85546875" style="32" bestFit="1" customWidth="1"/>
    <col min="5892" max="5892" width="4.5703125" style="32" bestFit="1" customWidth="1"/>
    <col min="5893" max="5893" width="79.42578125" style="32" customWidth="1"/>
    <col min="5894" max="5894" width="11.5703125" style="32" customWidth="1"/>
    <col min="5895" max="5895" width="15.140625" style="32" bestFit="1" customWidth="1"/>
    <col min="5896" max="5899" width="11" style="32" customWidth="1"/>
    <col min="5900" max="5900" width="86.7109375" style="32" bestFit="1" customWidth="1"/>
    <col min="5901" max="5901" width="47.5703125" style="32" customWidth="1"/>
    <col min="5902" max="6146" width="9.140625" style="32"/>
    <col min="6147" max="6147" width="10.85546875" style="32" bestFit="1" customWidth="1"/>
    <col min="6148" max="6148" width="4.5703125" style="32" bestFit="1" customWidth="1"/>
    <col min="6149" max="6149" width="79.42578125" style="32" customWidth="1"/>
    <col min="6150" max="6150" width="11.5703125" style="32" customWidth="1"/>
    <col min="6151" max="6151" width="15.140625" style="32" bestFit="1" customWidth="1"/>
    <col min="6152" max="6155" width="11" style="32" customWidth="1"/>
    <col min="6156" max="6156" width="86.7109375" style="32" bestFit="1" customWidth="1"/>
    <col min="6157" max="6157" width="47.5703125" style="32" customWidth="1"/>
    <col min="6158" max="6402" width="9.140625" style="32"/>
    <col min="6403" max="6403" width="10.85546875" style="32" bestFit="1" customWidth="1"/>
    <col min="6404" max="6404" width="4.5703125" style="32" bestFit="1" customWidth="1"/>
    <col min="6405" max="6405" width="79.42578125" style="32" customWidth="1"/>
    <col min="6406" max="6406" width="11.5703125" style="32" customWidth="1"/>
    <col min="6407" max="6407" width="15.140625" style="32" bestFit="1" customWidth="1"/>
    <col min="6408" max="6411" width="11" style="32" customWidth="1"/>
    <col min="6412" max="6412" width="86.7109375" style="32" bestFit="1" customWidth="1"/>
    <col min="6413" max="6413" width="47.5703125" style="32" customWidth="1"/>
    <col min="6414" max="6658" width="9.140625" style="32"/>
    <col min="6659" max="6659" width="10.85546875" style="32" bestFit="1" customWidth="1"/>
    <col min="6660" max="6660" width="4.5703125" style="32" bestFit="1" customWidth="1"/>
    <col min="6661" max="6661" width="79.42578125" style="32" customWidth="1"/>
    <col min="6662" max="6662" width="11.5703125" style="32" customWidth="1"/>
    <col min="6663" max="6663" width="15.140625" style="32" bestFit="1" customWidth="1"/>
    <col min="6664" max="6667" width="11" style="32" customWidth="1"/>
    <col min="6668" max="6668" width="86.7109375" style="32" bestFit="1" customWidth="1"/>
    <col min="6669" max="6669" width="47.5703125" style="32" customWidth="1"/>
    <col min="6670" max="6914" width="9.140625" style="32"/>
    <col min="6915" max="6915" width="10.85546875" style="32" bestFit="1" customWidth="1"/>
    <col min="6916" max="6916" width="4.5703125" style="32" bestFit="1" customWidth="1"/>
    <col min="6917" max="6917" width="79.42578125" style="32" customWidth="1"/>
    <col min="6918" max="6918" width="11.5703125" style="32" customWidth="1"/>
    <col min="6919" max="6919" width="15.140625" style="32" bestFit="1" customWidth="1"/>
    <col min="6920" max="6923" width="11" style="32" customWidth="1"/>
    <col min="6924" max="6924" width="86.7109375" style="32" bestFit="1" customWidth="1"/>
    <col min="6925" max="6925" width="47.5703125" style="32" customWidth="1"/>
    <col min="6926" max="7170" width="9.140625" style="32"/>
    <col min="7171" max="7171" width="10.85546875" style="32" bestFit="1" customWidth="1"/>
    <col min="7172" max="7172" width="4.5703125" style="32" bestFit="1" customWidth="1"/>
    <col min="7173" max="7173" width="79.42578125" style="32" customWidth="1"/>
    <col min="7174" max="7174" width="11.5703125" style="32" customWidth="1"/>
    <col min="7175" max="7175" width="15.140625" style="32" bestFit="1" customWidth="1"/>
    <col min="7176" max="7179" width="11" style="32" customWidth="1"/>
    <col min="7180" max="7180" width="86.7109375" style="32" bestFit="1" customWidth="1"/>
    <col min="7181" max="7181" width="47.5703125" style="32" customWidth="1"/>
    <col min="7182" max="7426" width="9.140625" style="32"/>
    <col min="7427" max="7427" width="10.85546875" style="32" bestFit="1" customWidth="1"/>
    <col min="7428" max="7428" width="4.5703125" style="32" bestFit="1" customWidth="1"/>
    <col min="7429" max="7429" width="79.42578125" style="32" customWidth="1"/>
    <col min="7430" max="7430" width="11.5703125" style="32" customWidth="1"/>
    <col min="7431" max="7431" width="15.140625" style="32" bestFit="1" customWidth="1"/>
    <col min="7432" max="7435" width="11" style="32" customWidth="1"/>
    <col min="7436" max="7436" width="86.7109375" style="32" bestFit="1" customWidth="1"/>
    <col min="7437" max="7437" width="47.5703125" style="32" customWidth="1"/>
    <col min="7438" max="7682" width="9.140625" style="32"/>
    <col min="7683" max="7683" width="10.85546875" style="32" bestFit="1" customWidth="1"/>
    <col min="7684" max="7684" width="4.5703125" style="32" bestFit="1" customWidth="1"/>
    <col min="7685" max="7685" width="79.42578125" style="32" customWidth="1"/>
    <col min="7686" max="7686" width="11.5703125" style="32" customWidth="1"/>
    <col min="7687" max="7687" width="15.140625" style="32" bestFit="1" customWidth="1"/>
    <col min="7688" max="7691" width="11" style="32" customWidth="1"/>
    <col min="7692" max="7692" width="86.7109375" style="32" bestFit="1" customWidth="1"/>
    <col min="7693" max="7693" width="47.5703125" style="32" customWidth="1"/>
    <col min="7694" max="7938" width="9.140625" style="32"/>
    <col min="7939" max="7939" width="10.85546875" style="32" bestFit="1" customWidth="1"/>
    <col min="7940" max="7940" width="4.5703125" style="32" bestFit="1" customWidth="1"/>
    <col min="7941" max="7941" width="79.42578125" style="32" customWidth="1"/>
    <col min="7942" max="7942" width="11.5703125" style="32" customWidth="1"/>
    <col min="7943" max="7943" width="15.140625" style="32" bestFit="1" customWidth="1"/>
    <col min="7944" max="7947" width="11" style="32" customWidth="1"/>
    <col min="7948" max="7948" width="86.7109375" style="32" bestFit="1" customWidth="1"/>
    <col min="7949" max="7949" width="47.5703125" style="32" customWidth="1"/>
    <col min="7950" max="8194" width="9.140625" style="32"/>
    <col min="8195" max="8195" width="10.85546875" style="32" bestFit="1" customWidth="1"/>
    <col min="8196" max="8196" width="4.5703125" style="32" bestFit="1" customWidth="1"/>
    <col min="8197" max="8197" width="79.42578125" style="32" customWidth="1"/>
    <col min="8198" max="8198" width="11.5703125" style="32" customWidth="1"/>
    <col min="8199" max="8199" width="15.140625" style="32" bestFit="1" customWidth="1"/>
    <col min="8200" max="8203" width="11" style="32" customWidth="1"/>
    <col min="8204" max="8204" width="86.7109375" style="32" bestFit="1" customWidth="1"/>
    <col min="8205" max="8205" width="47.5703125" style="32" customWidth="1"/>
    <col min="8206" max="8450" width="9.140625" style="32"/>
    <col min="8451" max="8451" width="10.85546875" style="32" bestFit="1" customWidth="1"/>
    <col min="8452" max="8452" width="4.5703125" style="32" bestFit="1" customWidth="1"/>
    <col min="8453" max="8453" width="79.42578125" style="32" customWidth="1"/>
    <col min="8454" max="8454" width="11.5703125" style="32" customWidth="1"/>
    <col min="8455" max="8455" width="15.140625" style="32" bestFit="1" customWidth="1"/>
    <col min="8456" max="8459" width="11" style="32" customWidth="1"/>
    <col min="8460" max="8460" width="86.7109375" style="32" bestFit="1" customWidth="1"/>
    <col min="8461" max="8461" width="47.5703125" style="32" customWidth="1"/>
    <col min="8462" max="8706" width="9.140625" style="32"/>
    <col min="8707" max="8707" width="10.85546875" style="32" bestFit="1" customWidth="1"/>
    <col min="8708" max="8708" width="4.5703125" style="32" bestFit="1" customWidth="1"/>
    <col min="8709" max="8709" width="79.42578125" style="32" customWidth="1"/>
    <col min="8710" max="8710" width="11.5703125" style="32" customWidth="1"/>
    <col min="8711" max="8711" width="15.140625" style="32" bestFit="1" customWidth="1"/>
    <col min="8712" max="8715" width="11" style="32" customWidth="1"/>
    <col min="8716" max="8716" width="86.7109375" style="32" bestFit="1" customWidth="1"/>
    <col min="8717" max="8717" width="47.5703125" style="32" customWidth="1"/>
    <col min="8718" max="8962" width="9.140625" style="32"/>
    <col min="8963" max="8963" width="10.85546875" style="32" bestFit="1" customWidth="1"/>
    <col min="8964" max="8964" width="4.5703125" style="32" bestFit="1" customWidth="1"/>
    <col min="8965" max="8965" width="79.42578125" style="32" customWidth="1"/>
    <col min="8966" max="8966" width="11.5703125" style="32" customWidth="1"/>
    <col min="8967" max="8967" width="15.140625" style="32" bestFit="1" customWidth="1"/>
    <col min="8968" max="8971" width="11" style="32" customWidth="1"/>
    <col min="8972" max="8972" width="86.7109375" style="32" bestFit="1" customWidth="1"/>
    <col min="8973" max="8973" width="47.5703125" style="32" customWidth="1"/>
    <col min="8974" max="9218" width="9.140625" style="32"/>
    <col min="9219" max="9219" width="10.85546875" style="32" bestFit="1" customWidth="1"/>
    <col min="9220" max="9220" width="4.5703125" style="32" bestFit="1" customWidth="1"/>
    <col min="9221" max="9221" width="79.42578125" style="32" customWidth="1"/>
    <col min="9222" max="9222" width="11.5703125" style="32" customWidth="1"/>
    <col min="9223" max="9223" width="15.140625" style="32" bestFit="1" customWidth="1"/>
    <col min="9224" max="9227" width="11" style="32" customWidth="1"/>
    <col min="9228" max="9228" width="86.7109375" style="32" bestFit="1" customWidth="1"/>
    <col min="9229" max="9229" width="47.5703125" style="32" customWidth="1"/>
    <col min="9230" max="9474" width="9.140625" style="32"/>
    <col min="9475" max="9475" width="10.85546875" style="32" bestFit="1" customWidth="1"/>
    <col min="9476" max="9476" width="4.5703125" style="32" bestFit="1" customWidth="1"/>
    <col min="9477" max="9477" width="79.42578125" style="32" customWidth="1"/>
    <col min="9478" max="9478" width="11.5703125" style="32" customWidth="1"/>
    <col min="9479" max="9479" width="15.140625" style="32" bestFit="1" customWidth="1"/>
    <col min="9480" max="9483" width="11" style="32" customWidth="1"/>
    <col min="9484" max="9484" width="86.7109375" style="32" bestFit="1" customWidth="1"/>
    <col min="9485" max="9485" width="47.5703125" style="32" customWidth="1"/>
    <col min="9486" max="9730" width="9.140625" style="32"/>
    <col min="9731" max="9731" width="10.85546875" style="32" bestFit="1" customWidth="1"/>
    <col min="9732" max="9732" width="4.5703125" style="32" bestFit="1" customWidth="1"/>
    <col min="9733" max="9733" width="79.42578125" style="32" customWidth="1"/>
    <col min="9734" max="9734" width="11.5703125" style="32" customWidth="1"/>
    <col min="9735" max="9735" width="15.140625" style="32" bestFit="1" customWidth="1"/>
    <col min="9736" max="9739" width="11" style="32" customWidth="1"/>
    <col min="9740" max="9740" width="86.7109375" style="32" bestFit="1" customWidth="1"/>
    <col min="9741" max="9741" width="47.5703125" style="32" customWidth="1"/>
    <col min="9742" max="9986" width="9.140625" style="32"/>
    <col min="9987" max="9987" width="10.85546875" style="32" bestFit="1" customWidth="1"/>
    <col min="9988" max="9988" width="4.5703125" style="32" bestFit="1" customWidth="1"/>
    <col min="9989" max="9989" width="79.42578125" style="32" customWidth="1"/>
    <col min="9990" max="9990" width="11.5703125" style="32" customWidth="1"/>
    <col min="9991" max="9991" width="15.140625" style="32" bestFit="1" customWidth="1"/>
    <col min="9992" max="9995" width="11" style="32" customWidth="1"/>
    <col min="9996" max="9996" width="86.7109375" style="32" bestFit="1" customWidth="1"/>
    <col min="9997" max="9997" width="47.5703125" style="32" customWidth="1"/>
    <col min="9998" max="10242" width="9.140625" style="32"/>
    <col min="10243" max="10243" width="10.85546875" style="32" bestFit="1" customWidth="1"/>
    <col min="10244" max="10244" width="4.5703125" style="32" bestFit="1" customWidth="1"/>
    <col min="10245" max="10245" width="79.42578125" style="32" customWidth="1"/>
    <col min="10246" max="10246" width="11.5703125" style="32" customWidth="1"/>
    <col min="10247" max="10247" width="15.140625" style="32" bestFit="1" customWidth="1"/>
    <col min="10248" max="10251" width="11" style="32" customWidth="1"/>
    <col min="10252" max="10252" width="86.7109375" style="32" bestFit="1" customWidth="1"/>
    <col min="10253" max="10253" width="47.5703125" style="32" customWidth="1"/>
    <col min="10254" max="10498" width="9.140625" style="32"/>
    <col min="10499" max="10499" width="10.85546875" style="32" bestFit="1" customWidth="1"/>
    <col min="10500" max="10500" width="4.5703125" style="32" bestFit="1" customWidth="1"/>
    <col min="10501" max="10501" width="79.42578125" style="32" customWidth="1"/>
    <col min="10502" max="10502" width="11.5703125" style="32" customWidth="1"/>
    <col min="10503" max="10503" width="15.140625" style="32" bestFit="1" customWidth="1"/>
    <col min="10504" max="10507" width="11" style="32" customWidth="1"/>
    <col min="10508" max="10508" width="86.7109375" style="32" bestFit="1" customWidth="1"/>
    <col min="10509" max="10509" width="47.5703125" style="32" customWidth="1"/>
    <col min="10510" max="10754" width="9.140625" style="32"/>
    <col min="10755" max="10755" width="10.85546875" style="32" bestFit="1" customWidth="1"/>
    <col min="10756" max="10756" width="4.5703125" style="32" bestFit="1" customWidth="1"/>
    <col min="10757" max="10757" width="79.42578125" style="32" customWidth="1"/>
    <col min="10758" max="10758" width="11.5703125" style="32" customWidth="1"/>
    <col min="10759" max="10759" width="15.140625" style="32" bestFit="1" customWidth="1"/>
    <col min="10760" max="10763" width="11" style="32" customWidth="1"/>
    <col min="10764" max="10764" width="86.7109375" style="32" bestFit="1" customWidth="1"/>
    <col min="10765" max="10765" width="47.5703125" style="32" customWidth="1"/>
    <col min="10766" max="11010" width="9.140625" style="32"/>
    <col min="11011" max="11011" width="10.85546875" style="32" bestFit="1" customWidth="1"/>
    <col min="11012" max="11012" width="4.5703125" style="32" bestFit="1" customWidth="1"/>
    <col min="11013" max="11013" width="79.42578125" style="32" customWidth="1"/>
    <col min="11014" max="11014" width="11.5703125" style="32" customWidth="1"/>
    <col min="11015" max="11015" width="15.140625" style="32" bestFit="1" customWidth="1"/>
    <col min="11016" max="11019" width="11" style="32" customWidth="1"/>
    <col min="11020" max="11020" width="86.7109375" style="32" bestFit="1" customWidth="1"/>
    <col min="11021" max="11021" width="47.5703125" style="32" customWidth="1"/>
    <col min="11022" max="11266" width="9.140625" style="32"/>
    <col min="11267" max="11267" width="10.85546875" style="32" bestFit="1" customWidth="1"/>
    <col min="11268" max="11268" width="4.5703125" style="32" bestFit="1" customWidth="1"/>
    <col min="11269" max="11269" width="79.42578125" style="32" customWidth="1"/>
    <col min="11270" max="11270" width="11.5703125" style="32" customWidth="1"/>
    <col min="11271" max="11271" width="15.140625" style="32" bestFit="1" customWidth="1"/>
    <col min="11272" max="11275" width="11" style="32" customWidth="1"/>
    <col min="11276" max="11276" width="86.7109375" style="32" bestFit="1" customWidth="1"/>
    <col min="11277" max="11277" width="47.5703125" style="32" customWidth="1"/>
    <col min="11278" max="11522" width="9.140625" style="32"/>
    <col min="11523" max="11523" width="10.85546875" style="32" bestFit="1" customWidth="1"/>
    <col min="11524" max="11524" width="4.5703125" style="32" bestFit="1" customWidth="1"/>
    <col min="11525" max="11525" width="79.42578125" style="32" customWidth="1"/>
    <col min="11526" max="11526" width="11.5703125" style="32" customWidth="1"/>
    <col min="11527" max="11527" width="15.140625" style="32" bestFit="1" customWidth="1"/>
    <col min="11528" max="11531" width="11" style="32" customWidth="1"/>
    <col min="11532" max="11532" width="86.7109375" style="32" bestFit="1" customWidth="1"/>
    <col min="11533" max="11533" width="47.5703125" style="32" customWidth="1"/>
    <col min="11534" max="11778" width="9.140625" style="32"/>
    <col min="11779" max="11779" width="10.85546875" style="32" bestFit="1" customWidth="1"/>
    <col min="11780" max="11780" width="4.5703125" style="32" bestFit="1" customWidth="1"/>
    <col min="11781" max="11781" width="79.42578125" style="32" customWidth="1"/>
    <col min="11782" max="11782" width="11.5703125" style="32" customWidth="1"/>
    <col min="11783" max="11783" width="15.140625" style="32" bestFit="1" customWidth="1"/>
    <col min="11784" max="11787" width="11" style="32" customWidth="1"/>
    <col min="11788" max="11788" width="86.7109375" style="32" bestFit="1" customWidth="1"/>
    <col min="11789" max="11789" width="47.5703125" style="32" customWidth="1"/>
    <col min="11790" max="12034" width="9.140625" style="32"/>
    <col min="12035" max="12035" width="10.85546875" style="32" bestFit="1" customWidth="1"/>
    <col min="12036" max="12036" width="4.5703125" style="32" bestFit="1" customWidth="1"/>
    <col min="12037" max="12037" width="79.42578125" style="32" customWidth="1"/>
    <col min="12038" max="12038" width="11.5703125" style="32" customWidth="1"/>
    <col min="12039" max="12039" width="15.140625" style="32" bestFit="1" customWidth="1"/>
    <col min="12040" max="12043" width="11" style="32" customWidth="1"/>
    <col min="12044" max="12044" width="86.7109375" style="32" bestFit="1" customWidth="1"/>
    <col min="12045" max="12045" width="47.5703125" style="32" customWidth="1"/>
    <col min="12046" max="12290" width="9.140625" style="32"/>
    <col min="12291" max="12291" width="10.85546875" style="32" bestFit="1" customWidth="1"/>
    <col min="12292" max="12292" width="4.5703125" style="32" bestFit="1" customWidth="1"/>
    <col min="12293" max="12293" width="79.42578125" style="32" customWidth="1"/>
    <col min="12294" max="12294" width="11.5703125" style="32" customWidth="1"/>
    <col min="12295" max="12295" width="15.140625" style="32" bestFit="1" customWidth="1"/>
    <col min="12296" max="12299" width="11" style="32" customWidth="1"/>
    <col min="12300" max="12300" width="86.7109375" style="32" bestFit="1" customWidth="1"/>
    <col min="12301" max="12301" width="47.5703125" style="32" customWidth="1"/>
    <col min="12302" max="12546" width="9.140625" style="32"/>
    <col min="12547" max="12547" width="10.85546875" style="32" bestFit="1" customWidth="1"/>
    <col min="12548" max="12548" width="4.5703125" style="32" bestFit="1" customWidth="1"/>
    <col min="12549" max="12549" width="79.42578125" style="32" customWidth="1"/>
    <col min="12550" max="12550" width="11.5703125" style="32" customWidth="1"/>
    <col min="12551" max="12551" width="15.140625" style="32" bestFit="1" customWidth="1"/>
    <col min="12552" max="12555" width="11" style="32" customWidth="1"/>
    <col min="12556" max="12556" width="86.7109375" style="32" bestFit="1" customWidth="1"/>
    <col min="12557" max="12557" width="47.5703125" style="32" customWidth="1"/>
    <col min="12558" max="12802" width="9.140625" style="32"/>
    <col min="12803" max="12803" width="10.85546875" style="32" bestFit="1" customWidth="1"/>
    <col min="12804" max="12804" width="4.5703125" style="32" bestFit="1" customWidth="1"/>
    <col min="12805" max="12805" width="79.42578125" style="32" customWidth="1"/>
    <col min="12806" max="12806" width="11.5703125" style="32" customWidth="1"/>
    <col min="12807" max="12807" width="15.140625" style="32" bestFit="1" customWidth="1"/>
    <col min="12808" max="12811" width="11" style="32" customWidth="1"/>
    <col min="12812" max="12812" width="86.7109375" style="32" bestFit="1" customWidth="1"/>
    <col min="12813" max="12813" width="47.5703125" style="32" customWidth="1"/>
    <col min="12814" max="13058" width="9.140625" style="32"/>
    <col min="13059" max="13059" width="10.85546875" style="32" bestFit="1" customWidth="1"/>
    <col min="13060" max="13060" width="4.5703125" style="32" bestFit="1" customWidth="1"/>
    <col min="13061" max="13061" width="79.42578125" style="32" customWidth="1"/>
    <col min="13062" max="13062" width="11.5703125" style="32" customWidth="1"/>
    <col min="13063" max="13063" width="15.140625" style="32" bestFit="1" customWidth="1"/>
    <col min="13064" max="13067" width="11" style="32" customWidth="1"/>
    <col min="13068" max="13068" width="86.7109375" style="32" bestFit="1" customWidth="1"/>
    <col min="13069" max="13069" width="47.5703125" style="32" customWidth="1"/>
    <col min="13070" max="13314" width="9.140625" style="32"/>
    <col min="13315" max="13315" width="10.85546875" style="32" bestFit="1" customWidth="1"/>
    <col min="13316" max="13316" width="4.5703125" style="32" bestFit="1" customWidth="1"/>
    <col min="13317" max="13317" width="79.42578125" style="32" customWidth="1"/>
    <col min="13318" max="13318" width="11.5703125" style="32" customWidth="1"/>
    <col min="13319" max="13319" width="15.140625" style="32" bestFit="1" customWidth="1"/>
    <col min="13320" max="13323" width="11" style="32" customWidth="1"/>
    <col min="13324" max="13324" width="86.7109375" style="32" bestFit="1" customWidth="1"/>
    <col min="13325" max="13325" width="47.5703125" style="32" customWidth="1"/>
    <col min="13326" max="13570" width="9.140625" style="32"/>
    <col min="13571" max="13571" width="10.85546875" style="32" bestFit="1" customWidth="1"/>
    <col min="13572" max="13572" width="4.5703125" style="32" bestFit="1" customWidth="1"/>
    <col min="13573" max="13573" width="79.42578125" style="32" customWidth="1"/>
    <col min="13574" max="13574" width="11.5703125" style="32" customWidth="1"/>
    <col min="13575" max="13575" width="15.140625" style="32" bestFit="1" customWidth="1"/>
    <col min="13576" max="13579" width="11" style="32" customWidth="1"/>
    <col min="13580" max="13580" width="86.7109375" style="32" bestFit="1" customWidth="1"/>
    <col min="13581" max="13581" width="47.5703125" style="32" customWidth="1"/>
    <col min="13582" max="13826" width="9.140625" style="32"/>
    <col min="13827" max="13827" width="10.85546875" style="32" bestFit="1" customWidth="1"/>
    <col min="13828" max="13828" width="4.5703125" style="32" bestFit="1" customWidth="1"/>
    <col min="13829" max="13829" width="79.42578125" style="32" customWidth="1"/>
    <col min="13830" max="13830" width="11.5703125" style="32" customWidth="1"/>
    <col min="13831" max="13831" width="15.140625" style="32" bestFit="1" customWidth="1"/>
    <col min="13832" max="13835" width="11" style="32" customWidth="1"/>
    <col min="13836" max="13836" width="86.7109375" style="32" bestFit="1" customWidth="1"/>
    <col min="13837" max="13837" width="47.5703125" style="32" customWidth="1"/>
    <col min="13838" max="14082" width="9.140625" style="32"/>
    <col min="14083" max="14083" width="10.85546875" style="32" bestFit="1" customWidth="1"/>
    <col min="14084" max="14084" width="4.5703125" style="32" bestFit="1" customWidth="1"/>
    <col min="14085" max="14085" width="79.42578125" style="32" customWidth="1"/>
    <col min="14086" max="14086" width="11.5703125" style="32" customWidth="1"/>
    <col min="14087" max="14087" width="15.140625" style="32" bestFit="1" customWidth="1"/>
    <col min="14088" max="14091" width="11" style="32" customWidth="1"/>
    <col min="14092" max="14092" width="86.7109375" style="32" bestFit="1" customWidth="1"/>
    <col min="14093" max="14093" width="47.5703125" style="32" customWidth="1"/>
    <col min="14094" max="14338" width="9.140625" style="32"/>
    <col min="14339" max="14339" width="10.85546875" style="32" bestFit="1" customWidth="1"/>
    <col min="14340" max="14340" width="4.5703125" style="32" bestFit="1" customWidth="1"/>
    <col min="14341" max="14341" width="79.42578125" style="32" customWidth="1"/>
    <col min="14342" max="14342" width="11.5703125" style="32" customWidth="1"/>
    <col min="14343" max="14343" width="15.140625" style="32" bestFit="1" customWidth="1"/>
    <col min="14344" max="14347" width="11" style="32" customWidth="1"/>
    <col min="14348" max="14348" width="86.7109375" style="32" bestFit="1" customWidth="1"/>
    <col min="14349" max="14349" width="47.5703125" style="32" customWidth="1"/>
    <col min="14350" max="14594" width="9.140625" style="32"/>
    <col min="14595" max="14595" width="10.85546875" style="32" bestFit="1" customWidth="1"/>
    <col min="14596" max="14596" width="4.5703125" style="32" bestFit="1" customWidth="1"/>
    <col min="14597" max="14597" width="79.42578125" style="32" customWidth="1"/>
    <col min="14598" max="14598" width="11.5703125" style="32" customWidth="1"/>
    <col min="14599" max="14599" width="15.140625" style="32" bestFit="1" customWidth="1"/>
    <col min="14600" max="14603" width="11" style="32" customWidth="1"/>
    <col min="14604" max="14604" width="86.7109375" style="32" bestFit="1" customWidth="1"/>
    <col min="14605" max="14605" width="47.5703125" style="32" customWidth="1"/>
    <col min="14606" max="14850" width="9.140625" style="32"/>
    <col min="14851" max="14851" width="10.85546875" style="32" bestFit="1" customWidth="1"/>
    <col min="14852" max="14852" width="4.5703125" style="32" bestFit="1" customWidth="1"/>
    <col min="14853" max="14853" width="79.42578125" style="32" customWidth="1"/>
    <col min="14854" max="14854" width="11.5703125" style="32" customWidth="1"/>
    <col min="14855" max="14855" width="15.140625" style="32" bestFit="1" customWidth="1"/>
    <col min="14856" max="14859" width="11" style="32" customWidth="1"/>
    <col min="14860" max="14860" width="86.7109375" style="32" bestFit="1" customWidth="1"/>
    <col min="14861" max="14861" width="47.5703125" style="32" customWidth="1"/>
    <col min="14862" max="15106" width="9.140625" style="32"/>
    <col min="15107" max="15107" width="10.85546875" style="32" bestFit="1" customWidth="1"/>
    <col min="15108" max="15108" width="4.5703125" style="32" bestFit="1" customWidth="1"/>
    <col min="15109" max="15109" width="79.42578125" style="32" customWidth="1"/>
    <col min="15110" max="15110" width="11.5703125" style="32" customWidth="1"/>
    <col min="15111" max="15111" width="15.140625" style="32" bestFit="1" customWidth="1"/>
    <col min="15112" max="15115" width="11" style="32" customWidth="1"/>
    <col min="15116" max="15116" width="86.7109375" style="32" bestFit="1" customWidth="1"/>
    <col min="15117" max="15117" width="47.5703125" style="32" customWidth="1"/>
    <col min="15118" max="15362" width="9.140625" style="32"/>
    <col min="15363" max="15363" width="10.85546875" style="32" bestFit="1" customWidth="1"/>
    <col min="15364" max="15364" width="4.5703125" style="32" bestFit="1" customWidth="1"/>
    <col min="15365" max="15365" width="79.42578125" style="32" customWidth="1"/>
    <col min="15366" max="15366" width="11.5703125" style="32" customWidth="1"/>
    <col min="15367" max="15367" width="15.140625" style="32" bestFit="1" customWidth="1"/>
    <col min="15368" max="15371" width="11" style="32" customWidth="1"/>
    <col min="15372" max="15372" width="86.7109375" style="32" bestFit="1" customWidth="1"/>
    <col min="15373" max="15373" width="47.5703125" style="32" customWidth="1"/>
    <col min="15374" max="15618" width="9.140625" style="32"/>
    <col min="15619" max="15619" width="10.85546875" style="32" bestFit="1" customWidth="1"/>
    <col min="15620" max="15620" width="4.5703125" style="32" bestFit="1" customWidth="1"/>
    <col min="15621" max="15621" width="79.42578125" style="32" customWidth="1"/>
    <col min="15622" max="15622" width="11.5703125" style="32" customWidth="1"/>
    <col min="15623" max="15623" width="15.140625" style="32" bestFit="1" customWidth="1"/>
    <col min="15624" max="15627" width="11" style="32" customWidth="1"/>
    <col min="15628" max="15628" width="86.7109375" style="32" bestFit="1" customWidth="1"/>
    <col min="15629" max="15629" width="47.5703125" style="32" customWidth="1"/>
    <col min="15630" max="15874" width="9.140625" style="32"/>
    <col min="15875" max="15875" width="10.85546875" style="32" bestFit="1" customWidth="1"/>
    <col min="15876" max="15876" width="4.5703125" style="32" bestFit="1" customWidth="1"/>
    <col min="15877" max="15877" width="79.42578125" style="32" customWidth="1"/>
    <col min="15878" max="15878" width="11.5703125" style="32" customWidth="1"/>
    <col min="15879" max="15879" width="15.140625" style="32" bestFit="1" customWidth="1"/>
    <col min="15880" max="15883" width="11" style="32" customWidth="1"/>
    <col min="15884" max="15884" width="86.7109375" style="32" bestFit="1" customWidth="1"/>
    <col min="15885" max="15885" width="47.5703125" style="32" customWidth="1"/>
    <col min="15886" max="16130" width="9.140625" style="32"/>
    <col min="16131" max="16131" width="10.85546875" style="32" bestFit="1" customWidth="1"/>
    <col min="16132" max="16132" width="4.5703125" style="32" bestFit="1" customWidth="1"/>
    <col min="16133" max="16133" width="79.42578125" style="32" customWidth="1"/>
    <col min="16134" max="16134" width="11.5703125" style="32" customWidth="1"/>
    <col min="16135" max="16135" width="15.140625" style="32" bestFit="1" customWidth="1"/>
    <col min="16136" max="16139" width="11" style="32" customWidth="1"/>
    <col min="16140" max="16140" width="86.7109375" style="32" bestFit="1" customWidth="1"/>
    <col min="16141" max="16141" width="47.5703125" style="32" customWidth="1"/>
    <col min="16142" max="16384" width="9.140625" style="32"/>
  </cols>
  <sheetData>
    <row r="1" spans="1:12" ht="15.6" thickBot="1"/>
    <row r="2" spans="1:12" ht="17.25" customHeight="1">
      <c r="A2" s="282" t="s">
        <v>355</v>
      </c>
      <c r="B2" s="283">
        <v>22</v>
      </c>
      <c r="C2" s="289" t="s">
        <v>258</v>
      </c>
      <c r="D2" s="285"/>
      <c r="E2" s="125" t="s">
        <v>259</v>
      </c>
      <c r="F2" s="125" t="s">
        <v>260</v>
      </c>
      <c r="G2" s="205" t="s">
        <v>356</v>
      </c>
      <c r="H2" s="124" t="s">
        <v>262</v>
      </c>
      <c r="I2" s="124" t="s">
        <v>263</v>
      </c>
      <c r="J2" s="124" t="s">
        <v>264</v>
      </c>
      <c r="K2" s="124" t="s">
        <v>265</v>
      </c>
      <c r="L2" s="188" t="s">
        <v>357</v>
      </c>
    </row>
    <row r="3" spans="1:12" ht="17.25" customHeight="1">
      <c r="A3" s="282"/>
      <c r="B3" s="283"/>
      <c r="C3" s="33">
        <v>1</v>
      </c>
      <c r="D3" s="34" t="s">
        <v>358</v>
      </c>
      <c r="E3" s="35">
        <v>687</v>
      </c>
      <c r="F3" s="33" t="s">
        <v>359</v>
      </c>
      <c r="G3" s="209">
        <v>632</v>
      </c>
      <c r="H3" s="35"/>
      <c r="I3" s="35"/>
      <c r="J3" s="35"/>
      <c r="K3" s="35"/>
      <c r="L3" s="32" t="s">
        <v>360</v>
      </c>
    </row>
    <row r="4" spans="1:12" ht="17.25" customHeight="1">
      <c r="A4" s="282"/>
      <c r="B4" s="283"/>
      <c r="C4" s="33">
        <v>2</v>
      </c>
      <c r="D4" s="34" t="s">
        <v>361</v>
      </c>
      <c r="E4" s="35">
        <v>24</v>
      </c>
      <c r="F4" s="33" t="s">
        <v>268</v>
      </c>
      <c r="G4" s="209">
        <v>24</v>
      </c>
      <c r="H4" s="35"/>
      <c r="I4" s="35"/>
      <c r="J4" s="35"/>
      <c r="K4" s="35"/>
    </row>
    <row r="5" spans="1:12" ht="17.25" customHeight="1">
      <c r="A5" s="282"/>
      <c r="B5" s="283"/>
      <c r="C5" s="33">
        <v>3</v>
      </c>
      <c r="D5" s="34" t="s">
        <v>362</v>
      </c>
      <c r="E5" s="35">
        <v>7.7</v>
      </c>
      <c r="F5" s="33" t="s">
        <v>268</v>
      </c>
      <c r="G5" s="209">
        <v>72</v>
      </c>
      <c r="H5" s="35"/>
      <c r="I5" s="35"/>
      <c r="J5" s="35"/>
      <c r="K5" s="35"/>
    </row>
    <row r="6" spans="1:12" ht="17.25" customHeight="1">
      <c r="A6" s="282"/>
      <c r="B6" s="283"/>
      <c r="C6" s="33">
        <v>4</v>
      </c>
      <c r="D6" s="34" t="s">
        <v>363</v>
      </c>
      <c r="E6" s="35">
        <v>24</v>
      </c>
      <c r="F6" s="33" t="s">
        <v>268</v>
      </c>
      <c r="G6" s="209">
        <v>0</v>
      </c>
      <c r="H6" s="35"/>
      <c r="I6" s="35"/>
      <c r="J6" s="35"/>
      <c r="K6" s="35"/>
    </row>
    <row r="7" spans="1:12" ht="17.25" customHeight="1">
      <c r="A7" s="282"/>
      <c r="B7" s="283"/>
      <c r="C7" s="33">
        <v>5</v>
      </c>
      <c r="D7" s="34" t="s">
        <v>364</v>
      </c>
      <c r="E7" s="35">
        <v>341</v>
      </c>
      <c r="F7" s="33" t="s">
        <v>359</v>
      </c>
      <c r="G7" s="209">
        <v>341</v>
      </c>
      <c r="H7" s="35"/>
      <c r="I7" s="35"/>
      <c r="J7" s="35"/>
      <c r="K7" s="35"/>
      <c r="L7" s="32" t="s">
        <v>365</v>
      </c>
    </row>
    <row r="8" spans="1:12" ht="17.25" customHeight="1">
      <c r="A8" s="282"/>
      <c r="B8" s="283"/>
      <c r="C8" s="128">
        <v>6</v>
      </c>
      <c r="D8" s="129" t="s">
        <v>366</v>
      </c>
      <c r="E8" s="130">
        <v>236</v>
      </c>
      <c r="F8" s="128" t="s">
        <v>367</v>
      </c>
      <c r="G8" s="236">
        <v>0</v>
      </c>
      <c r="H8" s="130"/>
      <c r="I8" s="130"/>
      <c r="J8" s="130"/>
      <c r="K8" s="130"/>
      <c r="L8" s="199" t="s">
        <v>368</v>
      </c>
    </row>
    <row r="9" spans="1:12" ht="17.25" customHeight="1">
      <c r="A9" s="282"/>
      <c r="B9" s="283"/>
      <c r="C9" s="33">
        <v>7</v>
      </c>
      <c r="D9" s="132" t="s">
        <v>369</v>
      </c>
      <c r="E9" s="35">
        <v>504</v>
      </c>
      <c r="F9" s="33" t="s">
        <v>359</v>
      </c>
      <c r="G9" s="209">
        <v>504</v>
      </c>
      <c r="H9" s="35"/>
      <c r="I9" s="35"/>
      <c r="J9" s="35"/>
      <c r="K9" s="35"/>
      <c r="L9" s="32" t="s">
        <v>370</v>
      </c>
    </row>
    <row r="10" spans="1:12" ht="17.25" customHeight="1">
      <c r="A10" s="282"/>
      <c r="B10" s="283"/>
      <c r="C10" s="128">
        <v>8</v>
      </c>
      <c r="D10" s="133" t="s">
        <v>371</v>
      </c>
      <c r="E10" s="130">
        <v>20</v>
      </c>
      <c r="F10" s="128" t="s">
        <v>372</v>
      </c>
      <c r="G10" s="236">
        <v>0</v>
      </c>
      <c r="H10" s="130"/>
      <c r="I10" s="130"/>
      <c r="J10" s="130"/>
      <c r="K10" s="130"/>
      <c r="L10" s="199" t="s">
        <v>373</v>
      </c>
    </row>
    <row r="11" spans="1:12" ht="17.25" customHeight="1">
      <c r="A11" s="282"/>
      <c r="B11" s="283"/>
      <c r="C11" s="33">
        <v>9</v>
      </c>
      <c r="D11" s="34" t="s">
        <v>374</v>
      </c>
      <c r="E11" s="35">
        <v>900</v>
      </c>
      <c r="F11" s="33" t="s">
        <v>375</v>
      </c>
      <c r="G11" s="209">
        <v>350</v>
      </c>
      <c r="H11" s="35"/>
      <c r="I11" s="35"/>
      <c r="J11" s="35"/>
      <c r="K11" s="35"/>
      <c r="L11" s="223" t="s">
        <v>376</v>
      </c>
    </row>
    <row r="12" spans="1:12" ht="17.25" customHeight="1">
      <c r="A12" s="282"/>
      <c r="B12" s="283"/>
      <c r="C12" s="33">
        <v>10</v>
      </c>
      <c r="D12" s="34" t="s">
        <v>377</v>
      </c>
      <c r="E12" s="35">
        <v>300</v>
      </c>
      <c r="F12" s="33" t="s">
        <v>268</v>
      </c>
      <c r="G12" s="209">
        <v>0</v>
      </c>
      <c r="H12" s="35"/>
      <c r="I12" s="35"/>
      <c r="J12" s="35"/>
      <c r="K12" s="35"/>
      <c r="L12" s="32" t="s">
        <v>378</v>
      </c>
    </row>
    <row r="13" spans="1:12" ht="17.25" customHeight="1">
      <c r="A13" s="282"/>
      <c r="B13" s="283"/>
      <c r="C13" s="33"/>
      <c r="D13" s="34"/>
      <c r="E13" s="35"/>
      <c r="F13" s="33"/>
      <c r="G13" s="206"/>
      <c r="H13" s="35"/>
      <c r="I13" s="35"/>
      <c r="J13" s="35"/>
      <c r="K13" s="35"/>
    </row>
    <row r="14" spans="1:12" ht="15.75" customHeight="1">
      <c r="A14" s="282"/>
      <c r="C14" s="33"/>
      <c r="D14" s="34"/>
      <c r="E14" s="35">
        <f>SUM(E3:E13)</f>
        <v>3043.7</v>
      </c>
      <c r="F14" s="34"/>
      <c r="G14" s="221">
        <f>SUM(G3:G12)</f>
        <v>1923</v>
      </c>
      <c r="H14" s="35"/>
      <c r="I14" s="35"/>
      <c r="J14" s="35"/>
      <c r="K14" s="35"/>
    </row>
    <row r="15" spans="1:12" ht="15.75" customHeight="1">
      <c r="A15" s="282"/>
      <c r="B15" s="283">
        <v>41</v>
      </c>
      <c r="C15" s="288" t="s">
        <v>379</v>
      </c>
      <c r="D15" s="285"/>
      <c r="E15" s="125" t="s">
        <v>259</v>
      </c>
      <c r="F15" s="125" t="s">
        <v>260</v>
      </c>
      <c r="G15" s="207" t="s">
        <v>356</v>
      </c>
      <c r="H15" s="124" t="s">
        <v>262</v>
      </c>
      <c r="I15" s="124" t="s">
        <v>263</v>
      </c>
      <c r="J15" s="124" t="s">
        <v>264</v>
      </c>
      <c r="K15" s="124" t="s">
        <v>265</v>
      </c>
      <c r="L15" s="188" t="s">
        <v>357</v>
      </c>
    </row>
    <row r="16" spans="1:12" ht="15.75" customHeight="1">
      <c r="A16" s="282"/>
      <c r="B16" s="283"/>
      <c r="C16" s="33">
        <v>1</v>
      </c>
      <c r="D16" s="132" t="s">
        <v>380</v>
      </c>
      <c r="E16" s="35">
        <v>1000</v>
      </c>
      <c r="F16" s="33" t="s">
        <v>381</v>
      </c>
      <c r="G16" s="209">
        <v>1630</v>
      </c>
      <c r="H16" s="35"/>
      <c r="I16" s="35"/>
      <c r="J16" s="35"/>
      <c r="K16" s="35"/>
    </row>
    <row r="17" spans="1:12" ht="15.75" customHeight="1">
      <c r="A17" s="282"/>
      <c r="B17" s="283"/>
      <c r="C17" s="33">
        <v>2</v>
      </c>
      <c r="D17" s="132" t="s">
        <v>382</v>
      </c>
      <c r="E17" s="35">
        <v>3000</v>
      </c>
      <c r="F17" s="186" t="s">
        <v>321</v>
      </c>
      <c r="G17" s="209">
        <v>1950</v>
      </c>
      <c r="H17" s="35"/>
      <c r="I17" s="35"/>
      <c r="J17" s="35"/>
      <c r="K17" s="35"/>
    </row>
    <row r="18" spans="1:12" ht="15.75" customHeight="1">
      <c r="A18" s="282"/>
      <c r="B18" s="283"/>
      <c r="C18" s="128">
        <v>3</v>
      </c>
      <c r="D18" s="133" t="s">
        <v>383</v>
      </c>
      <c r="E18" s="130">
        <v>30</v>
      </c>
      <c r="F18" s="184" t="s">
        <v>384</v>
      </c>
      <c r="G18" s="236">
        <v>0</v>
      </c>
      <c r="H18" s="130"/>
      <c r="I18" s="130"/>
      <c r="J18" s="130"/>
      <c r="K18" s="130"/>
      <c r="L18" s="199" t="s">
        <v>385</v>
      </c>
    </row>
    <row r="19" spans="1:12" ht="15.75" customHeight="1">
      <c r="A19" s="282"/>
      <c r="B19" s="283"/>
      <c r="C19" s="33"/>
      <c r="G19" s="209"/>
      <c r="H19" s="35"/>
      <c r="I19" s="35"/>
      <c r="J19" s="35"/>
      <c r="K19" s="35"/>
    </row>
    <row r="20" spans="1:12" ht="15.75" customHeight="1">
      <c r="A20" s="282"/>
      <c r="C20" s="33"/>
      <c r="D20" s="34"/>
      <c r="E20" s="35">
        <f>SUM(E16:E18)</f>
        <v>4030</v>
      </c>
      <c r="F20" s="33"/>
      <c r="G20" s="221">
        <f>SUM(G16:G19)</f>
        <v>3580</v>
      </c>
      <c r="H20" s="35"/>
      <c r="I20" s="35"/>
      <c r="J20" s="35"/>
      <c r="K20" s="35"/>
    </row>
    <row r="21" spans="1:12" ht="15.75" customHeight="1">
      <c r="A21" s="282"/>
      <c r="B21" s="283">
        <v>51</v>
      </c>
      <c r="C21" s="288" t="s">
        <v>386</v>
      </c>
      <c r="D21" s="285"/>
      <c r="E21" s="125" t="s">
        <v>259</v>
      </c>
      <c r="F21" s="125" t="s">
        <v>260</v>
      </c>
      <c r="G21" s="207" t="s">
        <v>356</v>
      </c>
      <c r="H21" s="124" t="s">
        <v>262</v>
      </c>
      <c r="I21" s="124" t="s">
        <v>263</v>
      </c>
      <c r="J21" s="124" t="s">
        <v>264</v>
      </c>
      <c r="K21" s="124" t="s">
        <v>265</v>
      </c>
      <c r="L21" s="188" t="s">
        <v>357</v>
      </c>
    </row>
    <row r="22" spans="1:12" ht="15.6">
      <c r="A22" s="282"/>
      <c r="B22" s="283"/>
      <c r="C22" s="33">
        <v>1</v>
      </c>
      <c r="D22" s="132" t="s">
        <v>387</v>
      </c>
      <c r="E22" s="35">
        <v>3000</v>
      </c>
      <c r="F22" s="33" t="s">
        <v>314</v>
      </c>
      <c r="G22" s="209">
        <v>25</v>
      </c>
      <c r="H22" s="35"/>
      <c r="I22" s="35"/>
      <c r="K22" s="35"/>
      <c r="L22" s="131" t="s">
        <v>388</v>
      </c>
    </row>
    <row r="23" spans="1:12" ht="15.75" customHeight="1">
      <c r="A23" s="282"/>
      <c r="B23" s="283"/>
      <c r="C23" s="33"/>
      <c r="D23" s="34"/>
      <c r="E23" s="35"/>
      <c r="F23" s="33"/>
      <c r="G23" s="209"/>
      <c r="H23" s="35"/>
      <c r="I23" s="35"/>
      <c r="K23" s="35"/>
    </row>
    <row r="24" spans="1:12" ht="15.75" customHeight="1">
      <c r="A24" s="282"/>
      <c r="B24" s="283"/>
      <c r="C24" s="33"/>
      <c r="D24" s="34"/>
      <c r="E24" s="35">
        <f>SUM(E22:E22)</f>
        <v>3000</v>
      </c>
      <c r="F24" s="34"/>
      <c r="G24" s="221">
        <f>SUM(G22:G23)</f>
        <v>25</v>
      </c>
      <c r="H24" s="35"/>
      <c r="I24" s="35"/>
      <c r="J24" s="35"/>
      <c r="K24" s="35"/>
    </row>
    <row r="25" spans="1:12" ht="15.75" customHeight="1">
      <c r="A25" s="282"/>
      <c r="B25" s="283"/>
      <c r="C25" s="288" t="s">
        <v>389</v>
      </c>
      <c r="D25" s="285"/>
      <c r="E25" s="125" t="s">
        <v>259</v>
      </c>
      <c r="F25" s="125" t="s">
        <v>260</v>
      </c>
      <c r="G25" s="207" t="s">
        <v>356</v>
      </c>
      <c r="H25" s="124" t="s">
        <v>262</v>
      </c>
      <c r="I25" s="124" t="s">
        <v>263</v>
      </c>
      <c r="J25" s="124" t="s">
        <v>264</v>
      </c>
      <c r="K25" s="124" t="s">
        <v>265</v>
      </c>
      <c r="L25" s="188" t="s">
        <v>357</v>
      </c>
    </row>
    <row r="26" spans="1:12" ht="15.75" customHeight="1">
      <c r="A26" s="282"/>
      <c r="B26" s="283"/>
      <c r="C26" s="33">
        <v>1</v>
      </c>
      <c r="D26" s="34" t="s">
        <v>318</v>
      </c>
      <c r="E26" s="35">
        <v>750</v>
      </c>
      <c r="F26" s="33" t="s">
        <v>319</v>
      </c>
      <c r="G26" s="209">
        <v>500</v>
      </c>
      <c r="H26" s="35"/>
      <c r="I26" s="35"/>
      <c r="K26" s="35"/>
      <c r="L26" s="223" t="s">
        <v>390</v>
      </c>
    </row>
    <row r="27" spans="1:12" ht="15.75" customHeight="1">
      <c r="A27" s="282"/>
      <c r="B27" s="283"/>
      <c r="C27" s="33">
        <v>2</v>
      </c>
      <c r="D27" s="34" t="s">
        <v>320</v>
      </c>
      <c r="E27" s="35">
        <v>500</v>
      </c>
      <c r="F27" s="33" t="s">
        <v>321</v>
      </c>
      <c r="G27" s="209">
        <v>250</v>
      </c>
      <c r="H27" s="35"/>
      <c r="I27" s="35"/>
      <c r="K27" s="35"/>
    </row>
    <row r="28" spans="1:12" ht="15.75" customHeight="1">
      <c r="A28" s="282"/>
      <c r="B28" s="283"/>
      <c r="C28" s="128">
        <v>3</v>
      </c>
      <c r="D28" s="133" t="s">
        <v>324</v>
      </c>
      <c r="E28" s="130">
        <v>0</v>
      </c>
      <c r="F28" s="128" t="s">
        <v>391</v>
      </c>
      <c r="G28" s="236">
        <v>0</v>
      </c>
      <c r="H28" s="199"/>
      <c r="I28" s="199"/>
      <c r="J28" s="199"/>
      <c r="K28" s="199"/>
      <c r="L28" s="129" t="s">
        <v>392</v>
      </c>
    </row>
    <row r="29" spans="1:12" ht="15.75" customHeight="1">
      <c r="A29" s="282"/>
      <c r="B29" s="283"/>
      <c r="C29" s="33">
        <v>4</v>
      </c>
      <c r="D29" s="34" t="s">
        <v>393</v>
      </c>
      <c r="E29" s="35">
        <v>600</v>
      </c>
      <c r="F29" s="33" t="s">
        <v>394</v>
      </c>
      <c r="G29" s="209">
        <v>600</v>
      </c>
      <c r="H29" s="35"/>
      <c r="I29" s="35"/>
      <c r="K29" s="35"/>
    </row>
    <row r="30" spans="1:12" ht="15.75" customHeight="1">
      <c r="A30" s="282"/>
      <c r="B30" s="283"/>
      <c r="C30" s="33">
        <v>5</v>
      </c>
      <c r="D30" s="132" t="s">
        <v>327</v>
      </c>
      <c r="E30" s="35">
        <v>550</v>
      </c>
      <c r="F30" s="33" t="s">
        <v>394</v>
      </c>
      <c r="G30" s="209">
        <v>180</v>
      </c>
      <c r="H30" s="35"/>
      <c r="I30" s="35"/>
      <c r="K30" s="35"/>
      <c r="L30" s="252" t="s">
        <v>395</v>
      </c>
    </row>
    <row r="31" spans="1:12" ht="15.75" customHeight="1">
      <c r="A31" s="282"/>
      <c r="B31" s="283"/>
      <c r="C31" s="33">
        <v>6</v>
      </c>
      <c r="D31" s="34" t="s">
        <v>396</v>
      </c>
      <c r="E31" s="35">
        <v>520</v>
      </c>
      <c r="F31" s="33" t="s">
        <v>375</v>
      </c>
      <c r="G31" s="209">
        <v>482</v>
      </c>
      <c r="H31" s="35"/>
      <c r="I31" s="35"/>
      <c r="K31" s="35"/>
      <c r="L31" s="32" t="s">
        <v>397</v>
      </c>
    </row>
    <row r="32" spans="1:12" ht="15.75" customHeight="1">
      <c r="A32" s="282"/>
      <c r="B32" s="283"/>
      <c r="C32" s="33">
        <v>7</v>
      </c>
      <c r="D32" s="34" t="s">
        <v>331</v>
      </c>
      <c r="E32" s="35">
        <v>300</v>
      </c>
      <c r="F32" s="33" t="s">
        <v>332</v>
      </c>
      <c r="G32" s="209">
        <v>10</v>
      </c>
      <c r="H32" s="35"/>
      <c r="I32" s="35"/>
      <c r="K32" s="35"/>
    </row>
    <row r="33" spans="1:13" ht="15.75" customHeight="1">
      <c r="A33" s="282"/>
      <c r="B33" s="283"/>
      <c r="C33" s="33">
        <v>8</v>
      </c>
      <c r="D33" s="34" t="s">
        <v>334</v>
      </c>
      <c r="E33" s="35">
        <v>100</v>
      </c>
      <c r="F33" s="33" t="s">
        <v>316</v>
      </c>
      <c r="G33" s="209">
        <v>0</v>
      </c>
      <c r="H33" s="35"/>
      <c r="I33" s="35"/>
      <c r="J33" s="35"/>
      <c r="K33" s="35"/>
    </row>
    <row r="34" spans="1:13" ht="15.75" customHeight="1">
      <c r="A34" s="282"/>
      <c r="B34" s="283"/>
      <c r="C34" s="33"/>
      <c r="D34" s="34"/>
      <c r="E34" s="35"/>
      <c r="F34" s="33"/>
      <c r="G34" s="209"/>
      <c r="H34" s="35"/>
      <c r="I34" s="35"/>
      <c r="J34" s="35"/>
      <c r="K34" s="35"/>
    </row>
    <row r="35" spans="1:13" ht="15.75" customHeight="1">
      <c r="A35" s="282"/>
      <c r="C35" s="33"/>
      <c r="D35" s="36"/>
      <c r="E35" s="35">
        <f>SUM(E26:E34)</f>
        <v>3320</v>
      </c>
      <c r="F35" s="36"/>
      <c r="G35" s="221">
        <f>SUM(G26:G34)</f>
        <v>2022</v>
      </c>
      <c r="H35" s="36"/>
      <c r="I35" s="36"/>
      <c r="J35" s="36"/>
      <c r="K35" s="36"/>
    </row>
    <row r="36" spans="1:13" ht="18.75" customHeight="1" thickBot="1">
      <c r="A36" s="282"/>
      <c r="B36" s="37" t="s">
        <v>335</v>
      </c>
      <c r="C36" s="37"/>
      <c r="D36" s="38"/>
      <c r="E36" s="39">
        <f>SUM(E14,E20,E24,E35)</f>
        <v>13393.7</v>
      </c>
      <c r="F36" s="38"/>
      <c r="G36" s="210">
        <f>SUM(G14,G20,G24,G35)</f>
        <v>7550</v>
      </c>
      <c r="H36" s="39">
        <f>SUM(H27,H35)</f>
        <v>0</v>
      </c>
      <c r="I36" s="39">
        <f>SUM(I27,I35)</f>
        <v>0</v>
      </c>
      <c r="J36" s="39">
        <f>SUM(J27,J35)</f>
        <v>0</v>
      </c>
      <c r="K36" s="39">
        <f>SUM(K27,K35)</f>
        <v>0</v>
      </c>
      <c r="L36" s="40"/>
    </row>
    <row r="37" spans="1:13">
      <c r="A37" s="282"/>
      <c r="C37" s="33"/>
      <c r="D37" s="36"/>
      <c r="E37" s="36"/>
      <c r="F37" s="36"/>
      <c r="G37" s="36"/>
      <c r="H37" s="35"/>
      <c r="I37" s="35"/>
      <c r="J37" s="35"/>
      <c r="K37" s="35"/>
    </row>
    <row r="38" spans="1:13" ht="29.45" thickBot="1">
      <c r="C38" s="33"/>
      <c r="D38" s="41" t="s">
        <v>398</v>
      </c>
      <c r="E38" s="36"/>
      <c r="F38" s="36"/>
      <c r="G38" s="36"/>
      <c r="H38" s="35"/>
      <c r="I38" s="35"/>
      <c r="J38" s="35"/>
      <c r="K38" s="35"/>
    </row>
    <row r="39" spans="1:13" ht="15.6">
      <c r="B39" s="286" t="s">
        <v>338</v>
      </c>
      <c r="C39" s="285" t="s">
        <v>399</v>
      </c>
      <c r="D39" s="285"/>
      <c r="E39" s="125" t="s">
        <v>259</v>
      </c>
      <c r="F39" s="125" t="s">
        <v>260</v>
      </c>
      <c r="G39" s="205" t="s">
        <v>356</v>
      </c>
      <c r="H39" s="124" t="s">
        <v>262</v>
      </c>
      <c r="I39" s="124" t="s">
        <v>263</v>
      </c>
      <c r="J39" s="124" t="s">
        <v>264</v>
      </c>
      <c r="K39" s="124" t="s">
        <v>265</v>
      </c>
      <c r="L39" s="188" t="s">
        <v>357</v>
      </c>
    </row>
    <row r="40" spans="1:13" ht="17.25" customHeight="1">
      <c r="A40" s="282" t="s">
        <v>336</v>
      </c>
      <c r="B40" s="287"/>
      <c r="C40" s="33">
        <v>1</v>
      </c>
      <c r="D40" s="132" t="s">
        <v>339</v>
      </c>
      <c r="E40" s="35">
        <v>600</v>
      </c>
      <c r="F40" s="33" t="s">
        <v>316</v>
      </c>
      <c r="G40" s="209">
        <v>655</v>
      </c>
      <c r="H40" s="42"/>
      <c r="I40" s="42"/>
      <c r="J40" s="42"/>
      <c r="K40" s="35"/>
      <c r="L40" s="134" t="s">
        <v>400</v>
      </c>
    </row>
    <row r="41" spans="1:13" ht="17.25" customHeight="1">
      <c r="A41" s="282"/>
      <c r="B41" s="287"/>
      <c r="C41" s="33"/>
      <c r="D41" s="34"/>
      <c r="E41" s="35"/>
      <c r="F41" s="33"/>
      <c r="G41" s="209"/>
      <c r="H41" s="42"/>
      <c r="I41" s="42"/>
      <c r="J41" s="35"/>
      <c r="K41" s="42"/>
    </row>
    <row r="42" spans="1:13" ht="17.25" customHeight="1">
      <c r="A42" s="282"/>
      <c r="B42" s="43"/>
      <c r="C42" s="33"/>
      <c r="D42" s="34"/>
      <c r="E42" s="44">
        <f>SUM(E41)</f>
        <v>0</v>
      </c>
      <c r="F42" s="34"/>
      <c r="G42" s="209">
        <f>SUM(G40:G41)</f>
        <v>655</v>
      </c>
      <c r="H42" s="35"/>
      <c r="I42" s="35"/>
      <c r="J42" s="35"/>
      <c r="K42" s="35"/>
    </row>
    <row r="43" spans="1:13" ht="17.25" customHeight="1">
      <c r="A43" s="282"/>
      <c r="B43" s="286" t="s">
        <v>343</v>
      </c>
      <c r="C43" s="285" t="s">
        <v>344</v>
      </c>
      <c r="D43" s="285"/>
      <c r="E43" s="125" t="s">
        <v>259</v>
      </c>
      <c r="F43" s="125" t="s">
        <v>260</v>
      </c>
      <c r="G43" s="207" t="s">
        <v>356</v>
      </c>
      <c r="H43" s="124" t="s">
        <v>262</v>
      </c>
      <c r="I43" s="124" t="s">
        <v>263</v>
      </c>
      <c r="J43" s="124" t="s">
        <v>264</v>
      </c>
      <c r="K43" s="124" t="s">
        <v>265</v>
      </c>
      <c r="L43" s="188" t="s">
        <v>357</v>
      </c>
    </row>
    <row r="44" spans="1:13" ht="17.25" customHeight="1">
      <c r="A44" s="282"/>
      <c r="B44" s="287"/>
      <c r="C44" s="33">
        <v>1</v>
      </c>
      <c r="D44" s="132" t="s">
        <v>401</v>
      </c>
      <c r="E44" s="35">
        <v>1500</v>
      </c>
      <c r="F44" s="33" t="s">
        <v>359</v>
      </c>
      <c r="G44" s="209">
        <v>1070</v>
      </c>
      <c r="H44" s="46"/>
      <c r="I44" s="46"/>
      <c r="J44" s="46"/>
      <c r="K44" s="35"/>
      <c r="L44" s="126" t="s">
        <v>402</v>
      </c>
    </row>
    <row r="45" spans="1:13" ht="17.25" customHeight="1">
      <c r="A45" s="282"/>
      <c r="B45" s="287"/>
      <c r="C45" s="128">
        <v>2</v>
      </c>
      <c r="D45" s="129" t="s">
        <v>403</v>
      </c>
      <c r="E45" s="130">
        <v>492</v>
      </c>
      <c r="F45" s="128" t="s">
        <v>404</v>
      </c>
      <c r="G45" s="236">
        <v>0</v>
      </c>
      <c r="H45" s="200"/>
      <c r="I45" s="200"/>
      <c r="J45" s="200"/>
      <c r="K45" s="130"/>
      <c r="L45" s="199" t="s">
        <v>405</v>
      </c>
    </row>
    <row r="46" spans="1:13" ht="17.25" customHeight="1">
      <c r="A46" s="282"/>
      <c r="B46" s="287"/>
      <c r="C46" s="33">
        <v>3</v>
      </c>
      <c r="D46" s="132" t="s">
        <v>348</v>
      </c>
      <c r="E46" s="35">
        <v>648</v>
      </c>
      <c r="F46" s="33" t="s">
        <v>359</v>
      </c>
      <c r="G46" s="209"/>
      <c r="H46" s="46"/>
      <c r="I46" s="46"/>
      <c r="J46" s="46"/>
      <c r="K46" s="35"/>
      <c r="L46" s="36" t="s">
        <v>406</v>
      </c>
      <c r="M46" s="45"/>
    </row>
    <row r="47" spans="1:13" ht="17.25" customHeight="1">
      <c r="A47" s="282"/>
      <c r="B47" s="287"/>
      <c r="C47" s="33">
        <v>4</v>
      </c>
      <c r="D47" s="34" t="s">
        <v>407</v>
      </c>
      <c r="E47" s="35">
        <v>1260</v>
      </c>
      <c r="F47" s="33" t="s">
        <v>359</v>
      </c>
      <c r="G47" s="209">
        <v>882</v>
      </c>
      <c r="H47" s="46"/>
      <c r="I47" s="46"/>
      <c r="J47" s="46"/>
      <c r="K47" s="35"/>
      <c r="L47" s="36" t="s">
        <v>408</v>
      </c>
    </row>
    <row r="48" spans="1:13" ht="17.25" customHeight="1">
      <c r="A48" s="282"/>
      <c r="B48" s="287"/>
      <c r="C48" s="33">
        <v>5</v>
      </c>
      <c r="D48" s="132" t="s">
        <v>409</v>
      </c>
      <c r="E48" s="35">
        <v>200</v>
      </c>
      <c r="F48" s="33" t="s">
        <v>314</v>
      </c>
      <c r="G48" s="209">
        <v>108</v>
      </c>
      <c r="H48" s="46"/>
      <c r="I48" s="46"/>
      <c r="J48" s="46"/>
      <c r="K48" s="35"/>
      <c r="L48" s="32" t="s">
        <v>410</v>
      </c>
    </row>
    <row r="49" spans="1:12" ht="17.25" customHeight="1">
      <c r="A49" s="282"/>
      <c r="B49" s="287"/>
      <c r="C49" s="128">
        <v>6</v>
      </c>
      <c r="D49" s="133" t="s">
        <v>411</v>
      </c>
      <c r="E49" s="130">
        <v>500</v>
      </c>
      <c r="F49" s="128" t="s">
        <v>325</v>
      </c>
      <c r="G49" s="236">
        <v>0</v>
      </c>
      <c r="H49" s="200"/>
      <c r="I49" s="200"/>
      <c r="J49" s="200"/>
      <c r="K49" s="130"/>
      <c r="L49" s="199"/>
    </row>
    <row r="50" spans="1:12" ht="17.25" customHeight="1">
      <c r="A50" s="282"/>
      <c r="B50" s="287"/>
      <c r="C50" s="33"/>
      <c r="D50" s="34"/>
      <c r="E50" s="35"/>
      <c r="F50" s="33"/>
      <c r="G50" s="206"/>
      <c r="H50" s="46"/>
      <c r="I50" s="46"/>
      <c r="J50" s="46"/>
      <c r="K50" s="35"/>
    </row>
    <row r="51" spans="1:12" ht="17.25" customHeight="1">
      <c r="A51" s="123"/>
      <c r="B51" s="47"/>
      <c r="C51" s="33"/>
      <c r="D51" s="34"/>
      <c r="E51" s="35">
        <f>SUM(E44:E50)</f>
        <v>4600</v>
      </c>
      <c r="F51" s="33"/>
      <c r="G51" s="237">
        <f>SUM(G44:G50)</f>
        <v>2060</v>
      </c>
      <c r="H51" s="35"/>
      <c r="I51" s="35"/>
      <c r="J51" s="35"/>
      <c r="K51" s="35"/>
    </row>
    <row r="52" spans="1:12" ht="17.25" customHeight="1" thickBot="1">
      <c r="A52" s="123"/>
      <c r="B52" s="37" t="s">
        <v>335</v>
      </c>
      <c r="C52" s="37"/>
      <c r="D52" s="38"/>
      <c r="E52" s="39">
        <f>SUM(E42,E51)</f>
        <v>4600</v>
      </c>
      <c r="F52" s="38"/>
      <c r="G52" s="208"/>
      <c r="H52" s="39">
        <f>SUM(H42,H51)</f>
        <v>0</v>
      </c>
      <c r="I52" s="39">
        <f>SUM(I42,I51)</f>
        <v>0</v>
      </c>
      <c r="J52" s="39">
        <f>SUM(J42,J51)</f>
        <v>0</v>
      </c>
      <c r="K52" s="39">
        <f>SUM(K42,K51)</f>
        <v>0</v>
      </c>
      <c r="L52" s="40"/>
    </row>
    <row r="53" spans="1:12" ht="17.25" customHeight="1">
      <c r="A53" s="48"/>
      <c r="C53" s="33"/>
      <c r="D53" s="36"/>
      <c r="E53" s="36"/>
      <c r="F53" s="36"/>
      <c r="G53" s="36"/>
      <c r="H53" s="35"/>
      <c r="I53" s="35"/>
      <c r="J53" s="35"/>
      <c r="K53" s="35"/>
    </row>
    <row r="54" spans="1:12" ht="17.25" customHeight="1">
      <c r="A54" s="48"/>
      <c r="C54" s="33"/>
      <c r="D54" s="36"/>
      <c r="E54" s="36"/>
      <c r="F54" s="36"/>
      <c r="G54" s="36"/>
      <c r="H54" s="35"/>
      <c r="I54" s="35"/>
      <c r="J54" s="35"/>
      <c r="K54" s="35"/>
    </row>
    <row r="55" spans="1:12" ht="17.25" customHeight="1">
      <c r="A55" s="48"/>
      <c r="C55" s="33"/>
      <c r="D55" s="36"/>
      <c r="E55" s="36"/>
      <c r="F55" s="36"/>
      <c r="G55" s="36"/>
      <c r="H55" s="35"/>
      <c r="I55" s="35"/>
      <c r="J55" s="35"/>
      <c r="K55" s="35"/>
    </row>
    <row r="56" spans="1:12" ht="17.25" customHeight="1">
      <c r="A56" s="48"/>
      <c r="C56" s="33"/>
      <c r="D56" s="36"/>
      <c r="E56" s="36"/>
      <c r="F56" s="36"/>
      <c r="G56" s="36"/>
      <c r="H56" s="35"/>
      <c r="I56" s="35"/>
      <c r="J56" s="35"/>
      <c r="K56" s="35"/>
    </row>
    <row r="57" spans="1:12" ht="17.25" customHeight="1">
      <c r="A57" s="48"/>
      <c r="C57" s="33"/>
      <c r="D57" s="36"/>
      <c r="E57" s="36"/>
      <c r="F57" s="36"/>
      <c r="G57" s="36"/>
      <c r="H57" s="35"/>
      <c r="I57" s="35"/>
      <c r="J57" s="35"/>
      <c r="K57" s="35"/>
    </row>
    <row r="58" spans="1:12" ht="17.25" customHeight="1">
      <c r="A58" s="48"/>
      <c r="C58" s="33"/>
      <c r="D58" s="36"/>
      <c r="E58" s="36"/>
      <c r="F58" s="36"/>
      <c r="G58" s="36"/>
      <c r="H58" s="35"/>
      <c r="I58" s="35"/>
      <c r="J58" s="35"/>
      <c r="K58" s="35"/>
    </row>
    <row r="59" spans="1:12" ht="17.25" customHeight="1">
      <c r="A59" s="48"/>
      <c r="C59" s="33"/>
      <c r="D59" s="36"/>
      <c r="E59" s="36"/>
      <c r="F59" s="36"/>
      <c r="G59" s="36"/>
      <c r="H59" s="35"/>
      <c r="I59" s="35"/>
      <c r="J59" s="35"/>
      <c r="K59" s="35"/>
    </row>
    <row r="60" spans="1:12" ht="17.25" customHeight="1">
      <c r="A60" s="48"/>
      <c r="C60" s="33"/>
      <c r="D60" s="36"/>
      <c r="E60" s="36"/>
      <c r="F60" s="36"/>
      <c r="G60" s="36"/>
      <c r="H60" s="35"/>
      <c r="I60" s="35"/>
      <c r="J60" s="35"/>
      <c r="K60" s="35"/>
    </row>
    <row r="61" spans="1:12" ht="17.25" customHeight="1">
      <c r="A61" s="48"/>
      <c r="C61" s="33"/>
      <c r="D61" s="36"/>
      <c r="E61" s="36"/>
      <c r="F61" s="36"/>
      <c r="G61" s="36"/>
      <c r="H61" s="35"/>
      <c r="I61" s="35"/>
      <c r="J61" s="35"/>
      <c r="K61" s="35"/>
    </row>
    <row r="62" spans="1:12" ht="17.25" customHeight="1">
      <c r="A62" s="48"/>
      <c r="C62" s="33"/>
      <c r="D62" s="36"/>
      <c r="E62" s="36"/>
      <c r="F62" s="36"/>
      <c r="G62" s="36"/>
      <c r="H62" s="35"/>
      <c r="I62" s="35"/>
      <c r="J62" s="35"/>
      <c r="K62" s="35"/>
    </row>
    <row r="63" spans="1:12" ht="17.25" customHeight="1">
      <c r="A63" s="48"/>
      <c r="C63" s="33"/>
      <c r="D63" s="36"/>
      <c r="E63" s="36"/>
      <c r="F63" s="36"/>
      <c r="G63" s="36"/>
      <c r="H63" s="35"/>
      <c r="I63" s="35"/>
      <c r="J63" s="35"/>
      <c r="K63" s="35"/>
    </row>
    <row r="64" spans="1:12" ht="17.25" customHeight="1">
      <c r="A64" s="48"/>
      <c r="C64" s="33"/>
      <c r="D64" s="36"/>
      <c r="E64" s="36"/>
      <c r="F64" s="36"/>
      <c r="G64" s="36"/>
      <c r="H64" s="35"/>
      <c r="I64" s="35"/>
      <c r="J64" s="35"/>
      <c r="K64" s="35"/>
    </row>
    <row r="65" spans="1:11" ht="17.25" customHeight="1">
      <c r="A65" s="48"/>
      <c r="C65" s="33"/>
      <c r="D65" s="36"/>
      <c r="E65" s="36"/>
      <c r="F65" s="36"/>
      <c r="G65" s="36"/>
      <c r="H65" s="35"/>
      <c r="I65" s="35"/>
      <c r="J65" s="35"/>
      <c r="K65" s="35"/>
    </row>
    <row r="66" spans="1:11" ht="17.25" customHeight="1">
      <c r="A66" s="48"/>
      <c r="C66" s="33"/>
      <c r="D66" s="36"/>
      <c r="E66" s="36"/>
      <c r="F66" s="36"/>
      <c r="G66" s="36"/>
      <c r="H66" s="35"/>
      <c r="I66" s="35"/>
      <c r="J66" s="35"/>
      <c r="K66" s="35"/>
    </row>
    <row r="67" spans="1:11" ht="17.25" customHeight="1">
      <c r="A67" s="48"/>
      <c r="C67" s="33"/>
      <c r="D67" s="36"/>
      <c r="E67" s="36"/>
      <c r="F67" s="36"/>
      <c r="G67" s="36"/>
      <c r="H67" s="35"/>
      <c r="I67" s="35"/>
      <c r="J67" s="35"/>
      <c r="K67" s="35"/>
    </row>
    <row r="68" spans="1:11" ht="17.25" customHeight="1">
      <c r="A68" s="48"/>
      <c r="C68" s="33"/>
      <c r="D68" s="36"/>
      <c r="E68" s="36"/>
      <c r="F68" s="36"/>
      <c r="G68" s="36"/>
      <c r="H68" s="35"/>
      <c r="I68" s="35"/>
      <c r="J68" s="35"/>
      <c r="K68" s="35"/>
    </row>
    <row r="69" spans="1:11">
      <c r="C69" s="33"/>
      <c r="D69" s="36"/>
      <c r="E69" s="36"/>
      <c r="F69" s="36"/>
      <c r="G69" s="36"/>
      <c r="H69" s="35"/>
      <c r="I69" s="35"/>
      <c r="J69" s="35"/>
      <c r="K69" s="35"/>
    </row>
    <row r="70" spans="1:11">
      <c r="C70" s="33"/>
      <c r="D70" s="36"/>
      <c r="E70" s="36"/>
      <c r="F70" s="36"/>
      <c r="G70" s="36"/>
      <c r="H70" s="35"/>
      <c r="I70" s="35"/>
      <c r="J70" s="35"/>
      <c r="K70" s="35"/>
    </row>
    <row r="71" spans="1:11">
      <c r="C71" s="33"/>
      <c r="D71" s="36"/>
      <c r="E71" s="36"/>
      <c r="F71" s="36"/>
      <c r="G71" s="36"/>
      <c r="H71" s="35"/>
      <c r="I71" s="35"/>
      <c r="J71" s="35"/>
      <c r="K71" s="35"/>
    </row>
    <row r="72" spans="1:11">
      <c r="C72" s="33"/>
      <c r="D72" s="36"/>
      <c r="E72" s="36"/>
      <c r="F72" s="36"/>
      <c r="G72" s="36"/>
      <c r="H72" s="35"/>
      <c r="I72" s="35"/>
      <c r="J72" s="35"/>
      <c r="K72" s="35"/>
    </row>
    <row r="73" spans="1:11">
      <c r="C73" s="33"/>
      <c r="D73" s="36"/>
      <c r="E73" s="36"/>
      <c r="F73" s="36"/>
      <c r="G73" s="36"/>
      <c r="H73" s="35"/>
      <c r="I73" s="35"/>
      <c r="J73" s="35"/>
      <c r="K73" s="35"/>
    </row>
    <row r="74" spans="1:11">
      <c r="C74" s="33"/>
      <c r="D74" s="36"/>
      <c r="E74" s="36"/>
      <c r="F74" s="36"/>
      <c r="G74" s="36"/>
      <c r="H74" s="35"/>
      <c r="I74" s="35"/>
      <c r="J74" s="35"/>
      <c r="K74" s="35"/>
    </row>
    <row r="75" spans="1:11">
      <c r="C75" s="33"/>
      <c r="D75" s="36"/>
      <c r="E75" s="36"/>
      <c r="F75" s="36"/>
      <c r="G75" s="36"/>
      <c r="H75" s="35"/>
      <c r="I75" s="35"/>
      <c r="J75" s="35"/>
      <c r="K75" s="35"/>
    </row>
    <row r="76" spans="1:11">
      <c r="C76" s="33"/>
      <c r="D76" s="36"/>
      <c r="E76" s="36"/>
      <c r="F76" s="36"/>
      <c r="G76" s="36"/>
      <c r="H76" s="35"/>
      <c r="I76" s="35"/>
      <c r="J76" s="35"/>
      <c r="K76" s="35"/>
    </row>
    <row r="77" spans="1:11">
      <c r="C77" s="33"/>
      <c r="D77" s="36"/>
      <c r="E77" s="36"/>
      <c r="F77" s="36"/>
      <c r="G77" s="36"/>
      <c r="H77" s="35"/>
      <c r="I77" s="35"/>
      <c r="J77" s="35"/>
      <c r="K77" s="35"/>
    </row>
    <row r="78" spans="1:11">
      <c r="C78" s="33"/>
      <c r="D78" s="36"/>
      <c r="E78" s="36"/>
      <c r="F78" s="36"/>
      <c r="G78" s="36"/>
      <c r="H78" s="35"/>
      <c r="I78" s="35"/>
      <c r="J78" s="35"/>
      <c r="K78" s="35"/>
    </row>
    <row r="79" spans="1:11">
      <c r="C79" s="33"/>
      <c r="D79" s="36"/>
      <c r="E79" s="36"/>
      <c r="F79" s="36"/>
      <c r="G79" s="36"/>
      <c r="H79" s="35"/>
      <c r="I79" s="35"/>
      <c r="J79" s="35"/>
      <c r="K79" s="35"/>
    </row>
    <row r="80" spans="1:11">
      <c r="C80" s="33"/>
      <c r="D80" s="33"/>
      <c r="E80" s="33"/>
      <c r="F80" s="33"/>
      <c r="G80" s="33"/>
      <c r="H80" s="35"/>
      <c r="I80" s="35"/>
      <c r="J80" s="35"/>
      <c r="K80" s="35"/>
    </row>
    <row r="81" spans="3:11">
      <c r="C81" s="33"/>
      <c r="D81" s="33"/>
      <c r="E81" s="33"/>
      <c r="F81" s="33"/>
      <c r="G81" s="33"/>
      <c r="H81" s="35"/>
      <c r="I81" s="35"/>
      <c r="J81" s="35"/>
      <c r="K81" s="35"/>
    </row>
    <row r="82" spans="3:11">
      <c r="C82" s="33"/>
      <c r="D82" s="33"/>
      <c r="E82" s="33"/>
      <c r="F82" s="33"/>
      <c r="G82" s="33"/>
      <c r="H82" s="35"/>
      <c r="I82" s="35"/>
      <c r="J82" s="35"/>
      <c r="K82" s="35"/>
    </row>
    <row r="83" spans="3:11">
      <c r="C83" s="33"/>
      <c r="D83" s="33"/>
      <c r="E83" s="33"/>
      <c r="F83" s="33"/>
      <c r="G83" s="33"/>
      <c r="H83" s="35"/>
      <c r="I83" s="35"/>
      <c r="J83" s="35"/>
      <c r="K83" s="35"/>
    </row>
    <row r="84" spans="3:11">
      <c r="C84" s="33"/>
      <c r="D84" s="33"/>
      <c r="E84" s="33"/>
      <c r="F84" s="33"/>
      <c r="G84" s="33"/>
      <c r="H84" s="35"/>
      <c r="I84" s="35"/>
      <c r="J84" s="35"/>
      <c r="K84" s="35"/>
    </row>
    <row r="85" spans="3:11">
      <c r="C85" s="33"/>
      <c r="D85" s="33"/>
      <c r="E85" s="33"/>
      <c r="F85" s="33"/>
      <c r="G85" s="33"/>
      <c r="H85" s="35"/>
      <c r="I85" s="35"/>
      <c r="J85" s="35"/>
      <c r="K85" s="35"/>
    </row>
    <row r="86" spans="3:11">
      <c r="C86" s="33"/>
      <c r="D86" s="33"/>
      <c r="E86" s="33"/>
      <c r="F86" s="33"/>
      <c r="G86" s="33"/>
      <c r="H86" s="35"/>
      <c r="I86" s="35"/>
      <c r="J86" s="35"/>
      <c r="K86" s="35"/>
    </row>
    <row r="87" spans="3:11">
      <c r="C87" s="33"/>
      <c r="D87" s="33"/>
      <c r="E87" s="33"/>
      <c r="F87" s="33"/>
      <c r="G87" s="33"/>
      <c r="H87" s="35"/>
      <c r="I87" s="35"/>
      <c r="J87" s="35"/>
      <c r="K87" s="35"/>
    </row>
    <row r="88" spans="3:11">
      <c r="C88" s="33"/>
      <c r="D88" s="33"/>
      <c r="E88" s="33"/>
      <c r="F88" s="33"/>
      <c r="G88" s="33"/>
      <c r="H88" s="35"/>
      <c r="I88" s="35"/>
      <c r="J88" s="35"/>
      <c r="K88" s="35"/>
    </row>
  </sheetData>
  <mergeCells count="13">
    <mergeCell ref="B39:B41"/>
    <mergeCell ref="C39:D39"/>
    <mergeCell ref="A40:A50"/>
    <mergeCell ref="B43:B50"/>
    <mergeCell ref="C43:D43"/>
    <mergeCell ref="A2:A37"/>
    <mergeCell ref="B2:B13"/>
    <mergeCell ref="C2:D2"/>
    <mergeCell ref="B15:B19"/>
    <mergeCell ref="C15:D15"/>
    <mergeCell ref="B21:B34"/>
    <mergeCell ref="C21:D21"/>
    <mergeCell ref="C25:D25"/>
  </mergeCells>
  <phoneticPr fontId="3" type="noConversion"/>
  <dataValidations count="1">
    <dataValidation allowBlank="1" showInputMessage="1" showErrorMessage="1" prompt="▲籌設金控設計卓越中心 (非金控實體部門)，做為設計經驗交流社群與平台_x000a_▲匯集各公司商品與設計人才，統一進行設計思考方法與新工具教育訓練，並舉辦整合服務設計工作坊，發想、創新設計跨公司整合服務" sqref="D22" xr:uid="{594A6A24-CCFC-4995-8ED6-D9EFBDAEEB6B}"/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4D93B-D262-49F4-AA01-C845910D5829}">
  <dimension ref="A1"/>
  <sheetViews>
    <sheetView topLeftCell="A10" zoomScaleNormal="100" workbookViewId="0">
      <selection activeCell="A20" sqref="A20"/>
    </sheetView>
  </sheetViews>
  <sheetFormatPr defaultRowHeight="15"/>
  <sheetData/>
  <phoneticPr fontId="3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B2E80-F765-485D-8B92-E10849438F46}">
  <dimension ref="A1:Q42"/>
  <sheetViews>
    <sheetView zoomScale="70" zoomScaleNormal="70" workbookViewId="0">
      <selection activeCell="B1" sqref="B1:P1"/>
    </sheetView>
  </sheetViews>
  <sheetFormatPr defaultColWidth="9.140625" defaultRowHeight="13.9"/>
  <cols>
    <col min="1" max="2" width="9.140625" style="1"/>
    <col min="3" max="3" width="17.140625" style="1" bestFit="1" customWidth="1"/>
    <col min="4" max="4" width="3.28515625" style="1" bestFit="1" customWidth="1"/>
    <col min="5" max="5" width="11.5703125" style="1" bestFit="1" customWidth="1"/>
    <col min="6" max="6" width="3.28515625" style="1" bestFit="1" customWidth="1"/>
    <col min="7" max="7" width="17.140625" style="1" bestFit="1" customWidth="1"/>
    <col min="8" max="8" width="3.140625" style="1" customWidth="1"/>
    <col min="9" max="9" width="18.42578125" style="1" bestFit="1" customWidth="1"/>
    <col min="10" max="10" width="9" style="1" customWidth="1"/>
    <col min="11" max="11" width="6.140625" style="1" customWidth="1"/>
    <col min="12" max="12" width="50" style="1" bestFit="1" customWidth="1"/>
    <col min="13" max="13" width="43" style="1" bestFit="1" customWidth="1"/>
    <col min="14" max="14" width="4.42578125" style="1" bestFit="1" customWidth="1"/>
    <col min="15" max="15" width="20" style="1" bestFit="1" customWidth="1"/>
    <col min="16" max="16" width="18.28515625" style="1" bestFit="1" customWidth="1"/>
    <col min="17" max="17" width="26.28515625" style="1" customWidth="1"/>
    <col min="18" max="16384" width="9.140625" style="1"/>
  </cols>
  <sheetData>
    <row r="1" spans="2:16" ht="30" customHeight="1">
      <c r="B1" s="296" t="s">
        <v>412</v>
      </c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</row>
    <row r="2" spans="2:16" ht="21">
      <c r="B2" s="297" t="s">
        <v>413</v>
      </c>
      <c r="C2" s="7"/>
      <c r="D2" s="7"/>
      <c r="E2" s="7"/>
      <c r="F2" s="7"/>
      <c r="G2" s="7"/>
      <c r="H2" s="7"/>
      <c r="I2" s="7"/>
      <c r="K2" s="7"/>
      <c r="L2" s="7"/>
      <c r="M2" s="6" t="s">
        <v>414</v>
      </c>
      <c r="N2" s="7"/>
      <c r="O2" s="15" t="s">
        <v>415</v>
      </c>
      <c r="P2" s="6" t="s">
        <v>416</v>
      </c>
    </row>
    <row r="3" spans="2:16" ht="23.45">
      <c r="B3" s="297"/>
      <c r="C3" s="7"/>
      <c r="D3" s="7"/>
      <c r="E3" s="7"/>
      <c r="F3" s="7"/>
      <c r="G3" s="7"/>
      <c r="H3" s="7"/>
      <c r="I3" s="7"/>
      <c r="K3" s="12">
        <v>22</v>
      </c>
      <c r="L3" s="13" t="s">
        <v>417</v>
      </c>
      <c r="M3" s="4" t="e">
        <f>#REF!</f>
        <v>#REF!</v>
      </c>
      <c r="N3" s="5" t="s">
        <v>418</v>
      </c>
      <c r="O3" s="4" t="e">
        <f>M3*0.82</f>
        <v>#REF!</v>
      </c>
      <c r="P3" s="4" t="e">
        <f t="shared" ref="P3:P8" si="0">O3-M3</f>
        <v>#REF!</v>
      </c>
    </row>
    <row r="4" spans="2:16" ht="23.45">
      <c r="B4" s="297"/>
      <c r="C4" s="6" t="s">
        <v>414</v>
      </c>
      <c r="D4" s="6"/>
      <c r="E4" s="6" t="s">
        <v>419</v>
      </c>
      <c r="F4" s="6"/>
      <c r="G4" s="6" t="s">
        <v>420</v>
      </c>
      <c r="H4" s="6"/>
      <c r="I4" s="6" t="s">
        <v>421</v>
      </c>
      <c r="J4" s="3"/>
      <c r="K4" s="292">
        <v>41</v>
      </c>
      <c r="L4" s="13" t="s">
        <v>422</v>
      </c>
      <c r="M4" s="4" t="e">
        <f>#REF!</f>
        <v>#REF!</v>
      </c>
      <c r="N4" s="5" t="s">
        <v>418</v>
      </c>
      <c r="O4" s="4" t="e">
        <f>M4*0.82</f>
        <v>#REF!</v>
      </c>
      <c r="P4" s="4" t="e">
        <f t="shared" si="0"/>
        <v>#REF!</v>
      </c>
    </row>
    <row r="5" spans="2:16" ht="28.5" customHeight="1">
      <c r="B5" s="297"/>
      <c r="C5" s="4">
        <v>44826</v>
      </c>
      <c r="D5" s="5" t="s">
        <v>418</v>
      </c>
      <c r="E5" s="294" t="s">
        <v>423</v>
      </c>
      <c r="F5" s="5" t="s">
        <v>418</v>
      </c>
      <c r="G5" s="4">
        <f>C5*0.9</f>
        <v>40343.4</v>
      </c>
      <c r="H5" s="7"/>
      <c r="I5" s="8">
        <f>G5-C5</f>
        <v>-4482.5999999999985</v>
      </c>
      <c r="J5" s="9"/>
      <c r="K5" s="292"/>
      <c r="L5" s="13" t="s">
        <v>424</v>
      </c>
      <c r="M5" s="4" t="e">
        <f>#REF!</f>
        <v>#REF!</v>
      </c>
      <c r="N5" s="5" t="s">
        <v>418</v>
      </c>
      <c r="O5" s="4" t="e">
        <f>M5*0.82</f>
        <v>#REF!</v>
      </c>
      <c r="P5" s="4" t="e">
        <f t="shared" si="0"/>
        <v>#REF!</v>
      </c>
    </row>
    <row r="6" spans="2:16" ht="23.45">
      <c r="B6" s="297"/>
      <c r="C6" s="7"/>
      <c r="D6" s="7"/>
      <c r="E6" s="294"/>
      <c r="F6" s="7"/>
      <c r="G6" s="7"/>
      <c r="H6" s="7"/>
      <c r="I6" s="7"/>
      <c r="K6" s="292">
        <v>51</v>
      </c>
      <c r="L6" s="13" t="s">
        <v>425</v>
      </c>
      <c r="M6" s="4" t="e">
        <f>#REF!</f>
        <v>#REF!</v>
      </c>
      <c r="N6" s="5" t="s">
        <v>418</v>
      </c>
      <c r="O6" s="4" t="e">
        <f>M6*0.82</f>
        <v>#REF!</v>
      </c>
      <c r="P6" s="4" t="e">
        <f t="shared" si="0"/>
        <v>#REF!</v>
      </c>
    </row>
    <row r="7" spans="2:16" ht="23.45">
      <c r="B7" s="297"/>
      <c r="C7" s="7"/>
      <c r="D7" s="7"/>
      <c r="E7" s="7"/>
      <c r="F7" s="7"/>
      <c r="G7" s="7"/>
      <c r="H7" s="7"/>
      <c r="I7" s="7"/>
      <c r="K7" s="292"/>
      <c r="L7" s="13" t="s">
        <v>426</v>
      </c>
      <c r="M7" s="4" t="e">
        <f>#REF!</f>
        <v>#REF!</v>
      </c>
      <c r="N7" s="5" t="s">
        <v>418</v>
      </c>
      <c r="O7" s="4" t="e">
        <f>M7*0.82</f>
        <v>#REF!</v>
      </c>
      <c r="P7" s="4" t="e">
        <f t="shared" si="0"/>
        <v>#REF!</v>
      </c>
    </row>
    <row r="8" spans="2:16" ht="23.45">
      <c r="B8" s="11"/>
      <c r="K8" s="290" t="s">
        <v>427</v>
      </c>
      <c r="L8" s="290"/>
      <c r="M8" s="9" t="e">
        <f>SUM(M3:M7)</f>
        <v>#REF!</v>
      </c>
      <c r="N8" s="10" t="s">
        <v>418</v>
      </c>
      <c r="O8" s="9" t="e">
        <f>SUM(O3:O7)</f>
        <v>#REF!</v>
      </c>
      <c r="P8" s="8" t="e">
        <f t="shared" si="0"/>
        <v>#REF!</v>
      </c>
    </row>
    <row r="9" spans="2:16" ht="15" customHeight="1">
      <c r="B9" s="3"/>
      <c r="M9" s="2"/>
      <c r="O9" s="2"/>
      <c r="P9" s="2"/>
    </row>
    <row r="10" spans="2:16" ht="21">
      <c r="B10" s="297" t="s">
        <v>428</v>
      </c>
      <c r="C10" s="7"/>
      <c r="D10" s="7"/>
      <c r="E10" s="7"/>
      <c r="F10" s="7"/>
      <c r="G10" s="7"/>
      <c r="H10" s="7"/>
      <c r="I10" s="7"/>
      <c r="K10" s="7"/>
      <c r="L10" s="7"/>
      <c r="M10" s="6" t="s">
        <v>414</v>
      </c>
      <c r="N10" s="7"/>
      <c r="O10" s="15" t="s">
        <v>429</v>
      </c>
      <c r="P10" s="6" t="s">
        <v>416</v>
      </c>
    </row>
    <row r="11" spans="2:16" ht="23.45">
      <c r="B11" s="297"/>
      <c r="C11" s="7"/>
      <c r="D11" s="7"/>
      <c r="E11" s="7"/>
      <c r="F11" s="7"/>
      <c r="G11" s="7"/>
      <c r="H11" s="7"/>
      <c r="I11" s="7"/>
      <c r="K11" s="12">
        <v>22</v>
      </c>
      <c r="L11" s="13" t="s">
        <v>417</v>
      </c>
      <c r="M11" s="4" t="e">
        <f>#REF!</f>
        <v>#REF!</v>
      </c>
      <c r="N11" s="5" t="s">
        <v>418</v>
      </c>
      <c r="O11" s="4" t="e">
        <f>M11*0.64</f>
        <v>#REF!</v>
      </c>
      <c r="P11" s="4" t="e">
        <f t="shared" ref="P11:P16" si="1">O11-M11</f>
        <v>#REF!</v>
      </c>
    </row>
    <row r="12" spans="2:16" ht="23.45">
      <c r="B12" s="297"/>
      <c r="C12" s="6" t="s">
        <v>414</v>
      </c>
      <c r="D12" s="6"/>
      <c r="E12" s="6" t="s">
        <v>419</v>
      </c>
      <c r="F12" s="6"/>
      <c r="G12" s="6" t="s">
        <v>420</v>
      </c>
      <c r="H12" s="6"/>
      <c r="I12" s="6" t="s">
        <v>421</v>
      </c>
      <c r="J12" s="3"/>
      <c r="K12" s="292">
        <v>41</v>
      </c>
      <c r="L12" s="13" t="s">
        <v>422</v>
      </c>
      <c r="M12" s="4" t="e">
        <f>#REF!</f>
        <v>#REF!</v>
      </c>
      <c r="N12" s="5" t="s">
        <v>418</v>
      </c>
      <c r="O12" s="4" t="e">
        <f>M12*0.64</f>
        <v>#REF!</v>
      </c>
      <c r="P12" s="4" t="e">
        <f t="shared" si="1"/>
        <v>#REF!</v>
      </c>
    </row>
    <row r="13" spans="2:16" ht="28.5" customHeight="1">
      <c r="B13" s="297"/>
      <c r="C13" s="4">
        <v>44826</v>
      </c>
      <c r="D13" s="5" t="s">
        <v>418</v>
      </c>
      <c r="E13" s="294" t="s">
        <v>430</v>
      </c>
      <c r="F13" s="5" t="s">
        <v>418</v>
      </c>
      <c r="G13" s="4">
        <f>C13*0.8</f>
        <v>35860.800000000003</v>
      </c>
      <c r="H13" s="7"/>
      <c r="I13" s="8">
        <f>G13-C13</f>
        <v>-8965.1999999999971</v>
      </c>
      <c r="J13" s="9"/>
      <c r="K13" s="292"/>
      <c r="L13" s="13" t="s">
        <v>424</v>
      </c>
      <c r="M13" s="4" t="e">
        <f>#REF!</f>
        <v>#REF!</v>
      </c>
      <c r="N13" s="5" t="s">
        <v>418</v>
      </c>
      <c r="O13" s="4" t="e">
        <f>M13*0.64</f>
        <v>#REF!</v>
      </c>
      <c r="P13" s="4" t="e">
        <f t="shared" si="1"/>
        <v>#REF!</v>
      </c>
    </row>
    <row r="14" spans="2:16" ht="24" customHeight="1">
      <c r="B14" s="297"/>
      <c r="C14" s="7"/>
      <c r="D14" s="7"/>
      <c r="E14" s="294"/>
      <c r="F14" s="7"/>
      <c r="G14" s="7"/>
      <c r="H14" s="7"/>
      <c r="I14" s="7"/>
      <c r="K14" s="292">
        <v>51</v>
      </c>
      <c r="L14" s="13" t="s">
        <v>425</v>
      </c>
      <c r="M14" s="4" t="e">
        <f>#REF!</f>
        <v>#REF!</v>
      </c>
      <c r="N14" s="5" t="s">
        <v>418</v>
      </c>
      <c r="O14" s="4" t="e">
        <f>M14*0.64</f>
        <v>#REF!</v>
      </c>
      <c r="P14" s="4" t="e">
        <f t="shared" si="1"/>
        <v>#REF!</v>
      </c>
    </row>
    <row r="15" spans="2:16" ht="23.45">
      <c r="B15" s="297"/>
      <c r="C15" s="7"/>
      <c r="D15" s="7"/>
      <c r="E15" s="7"/>
      <c r="F15" s="7"/>
      <c r="G15" s="7"/>
      <c r="H15" s="7"/>
      <c r="I15" s="7"/>
      <c r="K15" s="292"/>
      <c r="L15" s="13" t="s">
        <v>426</v>
      </c>
      <c r="M15" s="4" t="e">
        <f>#REF!</f>
        <v>#REF!</v>
      </c>
      <c r="N15" s="5" t="s">
        <v>418</v>
      </c>
      <c r="O15" s="4" t="e">
        <f>M15*0.64</f>
        <v>#REF!</v>
      </c>
      <c r="P15" s="4" t="e">
        <f t="shared" si="1"/>
        <v>#REF!</v>
      </c>
    </row>
    <row r="16" spans="2:16" ht="23.45">
      <c r="K16" s="290" t="s">
        <v>427</v>
      </c>
      <c r="L16" s="290"/>
      <c r="M16" s="9" t="e">
        <f>SUM(M11:M15)</f>
        <v>#REF!</v>
      </c>
      <c r="N16" s="10" t="s">
        <v>418</v>
      </c>
      <c r="O16" s="9" t="e">
        <f>SUM(O11:O15)</f>
        <v>#REF!</v>
      </c>
      <c r="P16" s="8" t="e">
        <f t="shared" si="1"/>
        <v>#REF!</v>
      </c>
    </row>
    <row r="17" spans="2:16" ht="15" customHeight="1"/>
    <row r="18" spans="2:16" ht="21">
      <c r="B18" s="297" t="s">
        <v>431</v>
      </c>
      <c r="C18" s="7"/>
      <c r="D18" s="7"/>
      <c r="E18" s="7"/>
      <c r="F18" s="7"/>
      <c r="G18" s="7"/>
      <c r="H18" s="7"/>
      <c r="I18" s="7"/>
      <c r="K18" s="7"/>
      <c r="L18" s="7"/>
      <c r="M18" s="6" t="s">
        <v>414</v>
      </c>
      <c r="N18" s="7"/>
      <c r="O18" s="14" t="s">
        <v>432</v>
      </c>
      <c r="P18" s="6" t="s">
        <v>416</v>
      </c>
    </row>
    <row r="19" spans="2:16" ht="23.45">
      <c r="B19" s="297"/>
      <c r="C19" s="7"/>
      <c r="D19" s="7"/>
      <c r="E19" s="7"/>
      <c r="F19" s="7"/>
      <c r="G19" s="7"/>
      <c r="H19" s="7"/>
      <c r="I19" s="7"/>
      <c r="K19" s="12">
        <v>22</v>
      </c>
      <c r="L19" s="13" t="s">
        <v>417</v>
      </c>
      <c r="M19" s="4" t="e">
        <f>#REF!</f>
        <v>#REF!</v>
      </c>
      <c r="N19" s="5" t="s">
        <v>418</v>
      </c>
      <c r="O19" s="4" t="e">
        <f t="shared" ref="O19:O24" si="2">M19*0.46</f>
        <v>#REF!</v>
      </c>
      <c r="P19" s="4" t="e">
        <f t="shared" ref="P19:P24" si="3">O19-M19</f>
        <v>#REF!</v>
      </c>
    </row>
    <row r="20" spans="2:16" ht="23.45">
      <c r="B20" s="297"/>
      <c r="C20" s="14" t="s">
        <v>433</v>
      </c>
      <c r="D20" s="6"/>
      <c r="E20" s="6" t="s">
        <v>419</v>
      </c>
      <c r="F20" s="6"/>
      <c r="G20" s="6" t="s">
        <v>420</v>
      </c>
      <c r="H20" s="6"/>
      <c r="I20" s="6" t="s">
        <v>421</v>
      </c>
      <c r="J20" s="3"/>
      <c r="K20" s="292">
        <v>41</v>
      </c>
      <c r="L20" s="13" t="s">
        <v>422</v>
      </c>
      <c r="M20" s="4" t="e">
        <f>#REF!</f>
        <v>#REF!</v>
      </c>
      <c r="N20" s="5" t="s">
        <v>418</v>
      </c>
      <c r="O20" s="4" t="e">
        <f t="shared" si="2"/>
        <v>#REF!</v>
      </c>
      <c r="P20" s="4" t="e">
        <f t="shared" si="3"/>
        <v>#REF!</v>
      </c>
    </row>
    <row r="21" spans="2:16" ht="28.5" customHeight="1">
      <c r="B21" s="297"/>
      <c r="C21" s="4">
        <v>44826</v>
      </c>
      <c r="D21" s="5" t="s">
        <v>418</v>
      </c>
      <c r="E21" s="294" t="s">
        <v>434</v>
      </c>
      <c r="F21" s="5" t="s">
        <v>418</v>
      </c>
      <c r="G21" s="4">
        <f>C21*0.7</f>
        <v>31378.199999999997</v>
      </c>
      <c r="H21" s="7"/>
      <c r="I21" s="8">
        <f>G21-C21</f>
        <v>-13447.800000000003</v>
      </c>
      <c r="J21" s="9"/>
      <c r="K21" s="292"/>
      <c r="L21" s="13" t="s">
        <v>424</v>
      </c>
      <c r="M21" s="4" t="e">
        <f>#REF!</f>
        <v>#REF!</v>
      </c>
      <c r="N21" s="5" t="s">
        <v>418</v>
      </c>
      <c r="O21" s="4" t="e">
        <f t="shared" si="2"/>
        <v>#REF!</v>
      </c>
      <c r="P21" s="4" t="e">
        <f t="shared" si="3"/>
        <v>#REF!</v>
      </c>
    </row>
    <row r="22" spans="2:16" ht="24" customHeight="1">
      <c r="B22" s="297"/>
      <c r="C22" s="7"/>
      <c r="D22" s="7"/>
      <c r="E22" s="294"/>
      <c r="F22" s="7"/>
      <c r="G22" s="7"/>
      <c r="H22" s="7"/>
      <c r="I22" s="7"/>
      <c r="K22" s="292">
        <v>51</v>
      </c>
      <c r="L22" s="13" t="s">
        <v>425</v>
      </c>
      <c r="M22" s="4" t="e">
        <f>#REF!</f>
        <v>#REF!</v>
      </c>
      <c r="N22" s="5" t="s">
        <v>418</v>
      </c>
      <c r="O22" s="4" t="e">
        <f t="shared" si="2"/>
        <v>#REF!</v>
      </c>
      <c r="P22" s="4" t="e">
        <f t="shared" si="3"/>
        <v>#REF!</v>
      </c>
    </row>
    <row r="23" spans="2:16" ht="23.45">
      <c r="B23" s="297"/>
      <c r="C23" s="7"/>
      <c r="D23" s="7"/>
      <c r="E23" s="7"/>
      <c r="F23" s="7"/>
      <c r="G23" s="7"/>
      <c r="H23" s="7"/>
      <c r="I23" s="7"/>
      <c r="K23" s="292"/>
      <c r="L23" s="13" t="s">
        <v>426</v>
      </c>
      <c r="M23" s="4" t="e">
        <f>#REF!</f>
        <v>#REF!</v>
      </c>
      <c r="N23" s="5" t="s">
        <v>418</v>
      </c>
      <c r="O23" s="4" t="e">
        <f t="shared" si="2"/>
        <v>#REF!</v>
      </c>
      <c r="P23" s="4" t="e">
        <f t="shared" si="3"/>
        <v>#REF!</v>
      </c>
    </row>
    <row r="24" spans="2:16" ht="23.45">
      <c r="B24" s="11"/>
      <c r="K24" s="290" t="s">
        <v>427</v>
      </c>
      <c r="L24" s="290"/>
      <c r="M24" s="9" t="e">
        <f>SUM(M19:M23)</f>
        <v>#REF!</v>
      </c>
      <c r="N24" s="10" t="s">
        <v>418</v>
      </c>
      <c r="O24" s="9" t="e">
        <f t="shared" si="2"/>
        <v>#REF!</v>
      </c>
      <c r="P24" s="8" t="e">
        <f t="shared" si="3"/>
        <v>#REF!</v>
      </c>
    </row>
    <row r="26" spans="2:16" ht="21">
      <c r="B26" s="291" t="s">
        <v>435</v>
      </c>
      <c r="C26" s="7"/>
      <c r="D26" s="7"/>
      <c r="E26" s="7"/>
      <c r="F26" s="7"/>
      <c r="G26" s="7"/>
      <c r="H26" s="7"/>
      <c r="I26" s="7"/>
      <c r="K26" s="7"/>
      <c r="L26" s="7"/>
      <c r="M26" s="6" t="s">
        <v>414</v>
      </c>
      <c r="N26" s="7"/>
      <c r="O26" s="14" t="s">
        <v>436</v>
      </c>
      <c r="P26" s="6" t="s">
        <v>416</v>
      </c>
    </row>
    <row r="27" spans="2:16" ht="23.45">
      <c r="B27" s="291"/>
      <c r="C27" s="7"/>
      <c r="D27" s="7"/>
      <c r="E27" s="7"/>
      <c r="F27" s="7"/>
      <c r="G27" s="7"/>
      <c r="H27" s="7"/>
      <c r="I27" s="7"/>
      <c r="K27" s="12">
        <v>22</v>
      </c>
      <c r="L27" s="13" t="s">
        <v>417</v>
      </c>
      <c r="M27" s="4">
        <v>4961</v>
      </c>
      <c r="N27" s="5" t="s">
        <v>418</v>
      </c>
      <c r="O27" s="4">
        <v>3661</v>
      </c>
      <c r="P27" s="4">
        <f>O27-M27</f>
        <v>-1300</v>
      </c>
    </row>
    <row r="28" spans="2:16" ht="23.45">
      <c r="B28" s="291"/>
      <c r="C28" s="14" t="s">
        <v>433</v>
      </c>
      <c r="D28" s="6"/>
      <c r="E28" s="6" t="s">
        <v>419</v>
      </c>
      <c r="F28" s="6"/>
      <c r="G28" s="6" t="s">
        <v>420</v>
      </c>
      <c r="H28" s="6"/>
      <c r="I28" s="6" t="s">
        <v>421</v>
      </c>
      <c r="J28" s="3"/>
      <c r="K28" s="292">
        <v>41</v>
      </c>
      <c r="L28" s="13" t="s">
        <v>422</v>
      </c>
      <c r="M28" s="4">
        <v>3800</v>
      </c>
      <c r="N28" s="5" t="s">
        <v>418</v>
      </c>
      <c r="O28" s="4">
        <v>1800</v>
      </c>
      <c r="P28" s="4">
        <f>O28-M28</f>
        <v>-2000</v>
      </c>
    </row>
    <row r="29" spans="2:16" ht="23.45">
      <c r="B29" s="291"/>
      <c r="C29" s="4">
        <v>44826</v>
      </c>
      <c r="D29" s="5" t="s">
        <v>418</v>
      </c>
      <c r="E29" s="294" t="s">
        <v>437</v>
      </c>
      <c r="F29" s="5" t="s">
        <v>418</v>
      </c>
      <c r="G29" s="4">
        <f>C29*0.77468</f>
        <v>34725.805680000005</v>
      </c>
      <c r="H29" s="7"/>
      <c r="I29" s="8">
        <f>G29-C29</f>
        <v>-10100.194319999995</v>
      </c>
      <c r="J29" s="9"/>
      <c r="K29" s="292"/>
      <c r="L29" s="13" t="s">
        <v>424</v>
      </c>
      <c r="M29" s="4">
        <v>7300</v>
      </c>
      <c r="N29" s="5" t="s">
        <v>418</v>
      </c>
      <c r="O29" s="4">
        <v>4800</v>
      </c>
      <c r="P29" s="4">
        <f>O29-M29</f>
        <v>-2500</v>
      </c>
    </row>
    <row r="30" spans="2:16" ht="23.45">
      <c r="B30" s="291"/>
      <c r="C30" s="7"/>
      <c r="D30" s="7"/>
      <c r="E30" s="294"/>
      <c r="F30" s="7"/>
      <c r="G30" s="7"/>
      <c r="H30" s="7"/>
      <c r="I30" s="7"/>
      <c r="K30" s="292">
        <v>51</v>
      </c>
      <c r="L30" s="13" t="s">
        <v>425</v>
      </c>
      <c r="M30" s="4">
        <v>3000</v>
      </c>
      <c r="N30" s="5" t="s">
        <v>418</v>
      </c>
      <c r="O30" s="4">
        <v>3000</v>
      </c>
      <c r="P30" s="4">
        <f>O30-M30</f>
        <v>0</v>
      </c>
    </row>
    <row r="31" spans="2:16" ht="23.45">
      <c r="B31" s="291"/>
      <c r="C31" s="7"/>
      <c r="D31" s="7"/>
      <c r="E31" s="7"/>
      <c r="F31" s="7"/>
      <c r="G31" s="7"/>
      <c r="H31" s="7"/>
      <c r="I31" s="7"/>
      <c r="K31" s="292"/>
      <c r="L31" s="13" t="s">
        <v>426</v>
      </c>
      <c r="M31" s="4">
        <v>6100</v>
      </c>
      <c r="N31" s="5" t="s">
        <v>418</v>
      </c>
      <c r="O31" s="4">
        <v>1800</v>
      </c>
      <c r="P31" s="4">
        <f>O31-M31</f>
        <v>-4300</v>
      </c>
    </row>
    <row r="32" spans="2:16" ht="23.45">
      <c r="B32" s="11"/>
      <c r="K32" s="290" t="s">
        <v>427</v>
      </c>
      <c r="L32" s="290"/>
      <c r="M32" s="9">
        <v>25161</v>
      </c>
      <c r="N32" s="10" t="s">
        <v>418</v>
      </c>
      <c r="O32" s="9">
        <f>SUM(O27:O31)</f>
        <v>15061</v>
      </c>
      <c r="P32" s="8">
        <f>SUM(P27:P31)</f>
        <v>-10100</v>
      </c>
    </row>
    <row r="33" spans="1:17" ht="14.45" thickBot="1"/>
    <row r="34" spans="1:17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8"/>
    </row>
    <row r="35" spans="1:17" ht="21">
      <c r="A35" s="19"/>
      <c r="B35" s="291" t="s">
        <v>438</v>
      </c>
      <c r="C35" s="7"/>
      <c r="D35" s="7"/>
      <c r="E35" s="7"/>
      <c r="F35" s="7"/>
      <c r="G35" s="7"/>
      <c r="H35" s="7"/>
      <c r="I35" s="7"/>
      <c r="K35" s="7"/>
      <c r="L35" s="7"/>
      <c r="M35" s="14" t="s">
        <v>439</v>
      </c>
      <c r="N35" s="7"/>
      <c r="O35" s="15" t="s">
        <v>440</v>
      </c>
      <c r="P35" s="6" t="s">
        <v>416</v>
      </c>
      <c r="Q35" s="20"/>
    </row>
    <row r="36" spans="1:17" ht="23.45">
      <c r="A36" s="19"/>
      <c r="B36" s="291"/>
      <c r="C36" s="7"/>
      <c r="D36" s="7"/>
      <c r="E36" s="7"/>
      <c r="F36" s="7"/>
      <c r="G36" s="7"/>
      <c r="H36" s="7"/>
      <c r="I36" s="7"/>
      <c r="K36" s="12">
        <v>22</v>
      </c>
      <c r="L36" s="13" t="s">
        <v>417</v>
      </c>
      <c r="M36" s="21">
        <v>3661</v>
      </c>
      <c r="N36" s="5" t="s">
        <v>418</v>
      </c>
      <c r="O36" s="28">
        <f>M36*0.5371</f>
        <v>1966.3231000000001</v>
      </c>
      <c r="P36" s="30">
        <f>O36-M36</f>
        <v>-1694.6768999999999</v>
      </c>
      <c r="Q36" s="20"/>
    </row>
    <row r="37" spans="1:17" ht="23.45">
      <c r="A37" s="295" t="s">
        <v>441</v>
      </c>
      <c r="B37" s="291"/>
      <c r="C37" s="14" t="s">
        <v>433</v>
      </c>
      <c r="D37" s="6"/>
      <c r="E37" s="6" t="s">
        <v>419</v>
      </c>
      <c r="F37" s="6"/>
      <c r="G37" s="6" t="s">
        <v>420</v>
      </c>
      <c r="H37" s="6"/>
      <c r="I37" s="6" t="s">
        <v>421</v>
      </c>
      <c r="J37" s="3"/>
      <c r="K37" s="292">
        <v>41</v>
      </c>
      <c r="L37" s="13" t="s">
        <v>422</v>
      </c>
      <c r="M37" s="21">
        <v>1800</v>
      </c>
      <c r="N37" s="5" t="s">
        <v>418</v>
      </c>
      <c r="O37" s="28">
        <f>M37*0.5371</f>
        <v>966.78000000000009</v>
      </c>
      <c r="P37" s="30">
        <f>O37-M37</f>
        <v>-833.21999999999991</v>
      </c>
      <c r="Q37" s="20"/>
    </row>
    <row r="38" spans="1:17" ht="23.45">
      <c r="A38" s="295"/>
      <c r="B38" s="291"/>
      <c r="C38" s="21">
        <v>44826</v>
      </c>
      <c r="D38" s="5" t="s">
        <v>418</v>
      </c>
      <c r="E38" s="293" t="s">
        <v>442</v>
      </c>
      <c r="F38" s="5" t="s">
        <v>418</v>
      </c>
      <c r="G38" s="21">
        <f>C38*0.6191496</f>
        <v>27753.999969599998</v>
      </c>
      <c r="H38" s="7"/>
      <c r="I38" s="22">
        <f>G38-C38</f>
        <v>-17072.000030400002</v>
      </c>
      <c r="J38" s="23"/>
      <c r="K38" s="292"/>
      <c r="L38" s="261" t="s">
        <v>443</v>
      </c>
      <c r="M38" s="21">
        <v>4800</v>
      </c>
      <c r="N38" s="5" t="s">
        <v>418</v>
      </c>
      <c r="O38" s="28">
        <f>M38*0.5371+600</f>
        <v>3178.08</v>
      </c>
      <c r="P38" s="30">
        <f>O38-M38</f>
        <v>-1621.92</v>
      </c>
      <c r="Q38" s="27" t="s">
        <v>444</v>
      </c>
    </row>
    <row r="39" spans="1:17" ht="23.45">
      <c r="A39" s="19"/>
      <c r="B39" s="291"/>
      <c r="C39" s="7"/>
      <c r="D39" s="7"/>
      <c r="E39" s="293"/>
      <c r="F39" s="7"/>
      <c r="G39" s="7"/>
      <c r="H39" s="7"/>
      <c r="I39" s="7"/>
      <c r="K39" s="292">
        <v>51</v>
      </c>
      <c r="L39" s="13" t="s">
        <v>425</v>
      </c>
      <c r="M39" s="21">
        <v>3000</v>
      </c>
      <c r="N39" s="5" t="s">
        <v>418</v>
      </c>
      <c r="O39" s="28">
        <f>M39*0.5371</f>
        <v>1611.3</v>
      </c>
      <c r="P39" s="30">
        <f>O39-M39</f>
        <v>-1388.7</v>
      </c>
      <c r="Q39" s="20"/>
    </row>
    <row r="40" spans="1:17" ht="23.45">
      <c r="A40" s="19"/>
      <c r="B40" s="291"/>
      <c r="C40" s="7"/>
      <c r="D40" s="7"/>
      <c r="E40" s="7"/>
      <c r="F40" s="7"/>
      <c r="G40" s="7"/>
      <c r="H40" s="7"/>
      <c r="I40" s="7"/>
      <c r="K40" s="292"/>
      <c r="L40" s="13" t="s">
        <v>426</v>
      </c>
      <c r="M40" s="21">
        <v>1800</v>
      </c>
      <c r="N40" s="5" t="s">
        <v>418</v>
      </c>
      <c r="O40" s="28">
        <f>M40*0.5371</f>
        <v>966.78000000000009</v>
      </c>
      <c r="P40" s="30">
        <f>O40-M40</f>
        <v>-833.21999999999991</v>
      </c>
      <c r="Q40" s="20"/>
    </row>
    <row r="41" spans="1:17" ht="23.45">
      <c r="A41" s="19"/>
      <c r="B41" s="11"/>
      <c r="K41" s="290" t="s">
        <v>427</v>
      </c>
      <c r="L41" s="290"/>
      <c r="M41" s="23">
        <f>SUM(M36:M40)</f>
        <v>15061</v>
      </c>
      <c r="N41" s="10" t="s">
        <v>418</v>
      </c>
      <c r="O41" s="29">
        <f>SUM(O36:O40)</f>
        <v>8689.2631000000001</v>
      </c>
      <c r="P41" s="31">
        <f>SUM(P36:P40)</f>
        <v>-6371.7368999999999</v>
      </c>
      <c r="Q41" s="20"/>
    </row>
    <row r="42" spans="1:17" ht="14.45" thickBot="1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6"/>
    </row>
  </sheetData>
  <mergeCells count="27">
    <mergeCell ref="A37:A38"/>
    <mergeCell ref="B1:P1"/>
    <mergeCell ref="K8:L8"/>
    <mergeCell ref="K16:L16"/>
    <mergeCell ref="K20:K21"/>
    <mergeCell ref="K22:K23"/>
    <mergeCell ref="K24:L24"/>
    <mergeCell ref="B10:B15"/>
    <mergeCell ref="B2:B7"/>
    <mergeCell ref="B18:B23"/>
    <mergeCell ref="E5:E6"/>
    <mergeCell ref="E13:E14"/>
    <mergeCell ref="E21:E22"/>
    <mergeCell ref="K4:K5"/>
    <mergeCell ref="K6:K7"/>
    <mergeCell ref="K12:K13"/>
    <mergeCell ref="K14:K15"/>
    <mergeCell ref="B26:B31"/>
    <mergeCell ref="K28:K29"/>
    <mergeCell ref="E29:E30"/>
    <mergeCell ref="K30:K31"/>
    <mergeCell ref="K41:L41"/>
    <mergeCell ref="K32:L32"/>
    <mergeCell ref="B35:B40"/>
    <mergeCell ref="K37:K38"/>
    <mergeCell ref="E38:E39"/>
    <mergeCell ref="K39:K40"/>
  </mergeCells>
  <phoneticPr fontId="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977AD-7F10-4F17-9A91-8DD590FB7A1E}">
  <dimension ref="A1"/>
  <sheetViews>
    <sheetView workbookViewId="0">
      <selection activeCell="T11" sqref="T11"/>
    </sheetView>
  </sheetViews>
  <sheetFormatPr defaultRowHeight="15"/>
  <sheetData/>
  <phoneticPr fontId="3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c347b5b-664f-4082-9567-437cbd15a34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59A0A14F75594CB856133A4244302C" ma:contentTypeVersion="13" ma:contentTypeDescription="Create a new document." ma:contentTypeScope="" ma:versionID="4a139e51f21a2c58b54a675920ff902e">
  <xsd:schema xmlns:xsd="http://www.w3.org/2001/XMLSchema" xmlns:xs="http://www.w3.org/2001/XMLSchema" xmlns:p="http://schemas.microsoft.com/office/2006/metadata/properties" xmlns:ns2="8c347b5b-664f-4082-9567-437cbd15a340" targetNamespace="http://schemas.microsoft.com/office/2006/metadata/properties" ma:root="true" ma:fieldsID="a60018fa8a2fa0c535839dd344c1f3e9" ns2:_="">
    <xsd:import namespace="8c347b5b-664f-4082-9567-437cbd15a3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347b5b-664f-4082-9567-437cbd15a3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EAD8D1-56E1-4CB2-AB8A-BD193E844414}"/>
</file>

<file path=customXml/itemProps2.xml><?xml version="1.0" encoding="utf-8"?>
<ds:datastoreItem xmlns:ds="http://schemas.openxmlformats.org/officeDocument/2006/customXml" ds:itemID="{4A3EBF93-7B75-47B4-897D-CA73D16CCE43}"/>
</file>

<file path=customXml/itemProps3.xml><?xml version="1.0" encoding="utf-8"?>
<ds:datastoreItem xmlns:ds="http://schemas.openxmlformats.org/officeDocument/2006/customXml" ds:itemID="{C54D96EC-5DCD-4DE5-8C88-D90784F79B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劉德偉-數位金融處-永豐銀行</dc:creator>
  <cp:keywords/>
  <dc:description/>
  <cp:lastModifiedBy/>
  <cp:revision/>
  <dcterms:created xsi:type="dcterms:W3CDTF">2015-06-05T18:19:34Z</dcterms:created>
  <dcterms:modified xsi:type="dcterms:W3CDTF">2026-08-04T06:21:55Z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0x0101003259A0A14F75594CB856133A4244302C</vt:lpwstr>
  </property>
  <property fmtid="{D5CDD505-2E9C-101B-9397-08002B2CF9AE}" pid="3" name="MediaServiceImageTags">
    <vt:lpwstr/>
  </property>
</Properties>
</file>